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 Statement" sheetId="1" state="visible" r:id="rId3"/>
    <sheet name="Balance Sheet" sheetId="2" state="visible" r:id="rId4"/>
    <sheet name="Cash Flow" sheetId="3" state="visible" r:id="rId5"/>
    <sheet name="Budget vs Actu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<sst xmlns="http://schemas.openxmlformats.org/spreadsheetml/2006/main" count="236" uniqueCount="84">
  <si>
    <t xml:space="preserve">Meridian Tech Solutions Ltd - Income Statement</t>
  </si>
  <si>
    <t xml:space="preserve">FY2025 by quarter, USD. Synthetic data for testing. Blue = input, black = formula.</t>
  </si>
  <si>
    <t xml:space="preserve">Line Item</t>
  </si>
  <si>
    <t xml:space="preserve">Q1 2025</t>
  </si>
  <si>
    <t xml:space="preserve">Q2 2025</t>
  </si>
  <si>
    <t xml:space="preserve">Q3 2025</t>
  </si>
  <si>
    <t xml:space="preserve">Q4 2025</t>
  </si>
  <si>
    <t xml:space="preserve">FY 2025</t>
  </si>
  <si>
    <t xml:space="preserve">Revenue</t>
  </si>
  <si>
    <t xml:space="preserve">Product Revenue</t>
  </si>
  <si>
    <t xml:space="preserve">Services Revenue</t>
  </si>
  <si>
    <t xml:space="preserve">Total Revenue</t>
  </si>
  <si>
    <t xml:space="preserve">Cost of Goods Sold</t>
  </si>
  <si>
    <t xml:space="preserve">Cloud Hosting</t>
  </si>
  <si>
    <t xml:space="preserve">Support Costs</t>
  </si>
  <si>
    <t xml:space="preserve">Total COGS</t>
  </si>
  <si>
    <t xml:space="preserve">Gross Profit</t>
  </si>
  <si>
    <t xml:space="preserve">Operating Expenses</t>
  </si>
  <si>
    <t xml:space="preserve">Salaries &amp; Benefits</t>
  </si>
  <si>
    <t xml:space="preserve">Marketing</t>
  </si>
  <si>
    <t xml:space="preserve">Software &amp; Licenses</t>
  </si>
  <si>
    <t xml:space="preserve">Professional Fees</t>
  </si>
  <si>
    <t xml:space="preserve">Travel &amp; Entertainment</t>
  </si>
  <si>
    <t xml:space="preserve">Rent &amp; Utilities</t>
  </si>
  <si>
    <t xml:space="preserve">Depreciation</t>
  </si>
  <si>
    <t xml:space="preserve">Total Operating Expenses</t>
  </si>
  <si>
    <t xml:space="preserve">Operating Income</t>
  </si>
  <si>
    <t xml:space="preserve">Interest Expense</t>
  </si>
  <si>
    <t xml:space="preserve">Income Before Tax</t>
  </si>
  <si>
    <t xml:space="preserve">Income Tax</t>
  </si>
  <si>
    <t xml:space="preserve">Net Income</t>
  </si>
  <si>
    <t xml:space="preserve">Assumptions</t>
  </si>
  <si>
    <t xml:space="preserve">Income tax rate</t>
  </si>
  <si>
    <t xml:space="preserve">Key assumption (hardcoded input); applied to Income Before Tax.</t>
  </si>
  <si>
    <t xml:space="preserve">Meridian Tech Solutions Ltd - Balance Sheet</t>
  </si>
  <si>
    <t xml:space="preserve">Quarter-end balances, USD. Synthetic data. Blue = input, black = formula, green = link to another sheet.</t>
  </si>
  <si>
    <t xml:space="preserve">Dec 31, 2024</t>
  </si>
  <si>
    <t xml:space="preserve">Mar 31, 2025</t>
  </si>
  <si>
    <t xml:space="preserve">Jun 30, 2025</t>
  </si>
  <si>
    <t xml:space="preserve">Sep 30, 2025</t>
  </si>
  <si>
    <t xml:space="preserve">Dec 31, 2025</t>
  </si>
  <si>
    <t xml:space="preserve">Assets</t>
  </si>
  <si>
    <t xml:space="preserve">Cash and Equivalents</t>
  </si>
  <si>
    <t xml:space="preserve">Accounts Receivable</t>
  </si>
  <si>
    <t xml:space="preserve">Prepaid Expenses</t>
  </si>
  <si>
    <t xml:space="preserve">Property &amp; Equipment, net</t>
  </si>
  <si>
    <t xml:space="preserve">Total Assets</t>
  </si>
  <si>
    <t xml:space="preserve">Liabilities</t>
  </si>
  <si>
    <t xml:space="preserve">Accounts Payable</t>
  </si>
  <si>
    <t xml:space="preserve">Accrued Expenses</t>
  </si>
  <si>
    <t xml:space="preserve">Term Loan</t>
  </si>
  <si>
    <t xml:space="preserve">Total Liabilities</t>
  </si>
  <si>
    <t xml:space="preserve">Equity</t>
  </si>
  <si>
    <t xml:space="preserve">Paid-in Capital</t>
  </si>
  <si>
    <t xml:space="preserve">Retained Earnings</t>
  </si>
  <si>
    <t xml:space="preserve">Total Equity</t>
  </si>
  <si>
    <t xml:space="preserve">Total Liabilities &amp; Equity</t>
  </si>
  <si>
    <t xml:space="preserve">Balance Check (Assets - Liabilities - Equity)</t>
  </si>
  <si>
    <t xml:space="preserve">Meridian Tech Solutions Ltd - Cash Flow Statement</t>
  </si>
  <si>
    <t xml:space="preserve">Indirect method, USD. Synthetic data. Blue = input, black = formula, green = link to another sheet.</t>
  </si>
  <si>
    <t xml:space="preserve">Operating Activities</t>
  </si>
  <si>
    <t xml:space="preserve">Change in Accounts Receivable</t>
  </si>
  <si>
    <t xml:space="preserve">Change in Accounts Payable</t>
  </si>
  <si>
    <t xml:space="preserve">Net Cash from Operating Activities</t>
  </si>
  <si>
    <t xml:space="preserve">Investing Activities</t>
  </si>
  <si>
    <t xml:space="preserve">Capital Expenditures</t>
  </si>
  <si>
    <t xml:space="preserve">Net Cash from Investing Activities</t>
  </si>
  <si>
    <t xml:space="preserve">Financing Activities</t>
  </si>
  <si>
    <t xml:space="preserve">Term Loan Repayment</t>
  </si>
  <si>
    <t xml:space="preserve">Net Cash from Financing Activities</t>
  </si>
  <si>
    <t xml:space="preserve">Net Change in Cash</t>
  </si>
  <si>
    <t xml:space="preserve">Beginning Cash</t>
  </si>
  <si>
    <t xml:space="preserve">Ending Cash</t>
  </si>
  <si>
    <t xml:space="preserve">Meridian Tech Solutions Ltd - Budget vs. Actual by Line Item</t>
  </si>
  <si>
    <t xml:space="preserve">Variance = Actual - Budget. For revenue, positive is favorable; for costs, positive means overspend (unfavorable). Synthetic data.</t>
  </si>
  <si>
    <t xml:space="preserve">Quarter</t>
  </si>
  <si>
    <t xml:space="preserve">Category</t>
  </si>
  <si>
    <t xml:space="preserve">Budget</t>
  </si>
  <si>
    <t xml:space="preserve">Actual</t>
  </si>
  <si>
    <t xml:space="preserve">Variance ($)</t>
  </si>
  <si>
    <t xml:space="preserve">Variance (%)</t>
  </si>
  <si>
    <t xml:space="preserve">Result</t>
  </si>
  <si>
    <t xml:space="preserve">Operating Income Summary (Budget vs Actual)</t>
  </si>
  <si>
    <t xml:space="preserve">Notes: Budget values are hardcoded inputs (blue) from the FY2025 operating budget approved by the CFO. Actuals link to the Income Statement sheet (green).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</si>
</sst>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0.0%"/>
    <numFmt numFmtId="167" formatCode="0.0%;\(0.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6"/>
      <c r="C5" s="6"/>
      <c r="D5" s="6"/>
      <c r="E5" s="6"/>
      <c r="F5" s="6"/>
    </row>
    <row r="6" customFormat="false" ht="15" hidden="false" customHeight="false" outlineLevel="0" collapsed="false">
      <c r="A6" s="7" t="s">
        <v>9</v>
      </c>
      <c r="B6" s="8" t="n">
        <v>1200000</v>
      </c>
      <c r="C6" s="8" t="n">
        <v>1350000</v>
      </c>
      <c r="D6" s="8" t="n">
        <v>1420000</v>
      </c>
      <c r="E6" s="8" t="n">
        <v>1580000</v>
      </c>
      <c r="F6" s="9" t="n">
        <f aca="false">SUM(B6:E6)</f>
        <v>5550000</v>
      </c>
    </row>
    <row r="7" customFormat="false" ht="15" hidden="false" customHeight="false" outlineLevel="0" collapsed="false">
      <c r="A7" s="7" t="s">
        <v>10</v>
      </c>
      <c r="B7" s="8" t="n">
        <v>400000</v>
      </c>
      <c r="C7" s="8" t="n">
        <v>450000</v>
      </c>
      <c r="D7" s="8" t="n">
        <v>470000</v>
      </c>
      <c r="E7" s="8" t="n">
        <v>520000</v>
      </c>
      <c r="F7" s="9" t="n">
        <f aca="false">SUM(B7:E7)</f>
        <v>1840000</v>
      </c>
    </row>
    <row r="8" customFormat="false" ht="15" hidden="false" customHeight="false" outlineLevel="0" collapsed="false">
      <c r="A8" s="10" t="s">
        <v>11</v>
      </c>
      <c r="B8" s="11" t="n">
        <f aca="false">SUM(B6:B7)</f>
        <v>1600000</v>
      </c>
      <c r="C8" s="11" t="n">
        <f aca="false">SUM(C6:C7)</f>
        <v>1800000</v>
      </c>
      <c r="D8" s="11" t="n">
        <f aca="false">SUM(D6:D7)</f>
        <v>1890000</v>
      </c>
      <c r="E8" s="11" t="n">
        <f aca="false">SUM(E6:E7)</f>
        <v>2100000</v>
      </c>
      <c r="F8" s="11" t="n">
        <f aca="false">SUM(B8:E8)</f>
        <v>7390000</v>
      </c>
    </row>
    <row r="9" customFormat="false" ht="15" hidden="false" customHeight="false" outlineLevel="0" collapsed="false">
      <c r="A9" s="5" t="s">
        <v>12</v>
      </c>
      <c r="B9" s="6"/>
      <c r="C9" s="6"/>
      <c r="D9" s="6"/>
      <c r="E9" s="6"/>
      <c r="F9" s="6"/>
    </row>
    <row r="10" customFormat="false" ht="15" hidden="false" customHeight="false" outlineLevel="0" collapsed="false">
      <c r="A10" s="7" t="s">
        <v>13</v>
      </c>
      <c r="B10" s="8" t="n">
        <v>210000</v>
      </c>
      <c r="C10" s="8" t="n">
        <v>235000</v>
      </c>
      <c r="D10" s="8" t="n">
        <v>250000</v>
      </c>
      <c r="E10" s="8" t="n">
        <v>275000</v>
      </c>
      <c r="F10" s="9" t="n">
        <f aca="false">SUM(B10:E10)</f>
        <v>970000</v>
      </c>
    </row>
    <row r="11" customFormat="false" ht="15" hidden="false" customHeight="false" outlineLevel="0" collapsed="false">
      <c r="A11" s="7" t="s">
        <v>14</v>
      </c>
      <c r="B11" s="8" t="n">
        <v>150000</v>
      </c>
      <c r="C11" s="8" t="n">
        <v>165000</v>
      </c>
      <c r="D11" s="8" t="n">
        <v>172000</v>
      </c>
      <c r="E11" s="8" t="n">
        <v>190000</v>
      </c>
      <c r="F11" s="9" t="n">
        <f aca="false">SUM(B11:E11)</f>
        <v>677000</v>
      </c>
    </row>
    <row r="12" customFormat="false" ht="15" hidden="false" customHeight="false" outlineLevel="0" collapsed="false">
      <c r="A12" s="10" t="s">
        <v>15</v>
      </c>
      <c r="B12" s="11" t="n">
        <f aca="false">SUM(B10:B11)</f>
        <v>360000</v>
      </c>
      <c r="C12" s="11" t="n">
        <f aca="false">SUM(C10:C11)</f>
        <v>400000</v>
      </c>
      <c r="D12" s="11" t="n">
        <f aca="false">SUM(D10:D11)</f>
        <v>422000</v>
      </c>
      <c r="E12" s="11" t="n">
        <f aca="false">SUM(E10:E11)</f>
        <v>465000</v>
      </c>
      <c r="F12" s="11" t="n">
        <f aca="false">SUM(B12:E12)</f>
        <v>1647000</v>
      </c>
    </row>
    <row r="13" customFormat="false" ht="15" hidden="false" customHeight="false" outlineLevel="0" collapsed="false">
      <c r="A13" s="10" t="s">
        <v>16</v>
      </c>
      <c r="B13" s="11" t="n">
        <f aca="false">B8-B12</f>
        <v>1240000</v>
      </c>
      <c r="C13" s="11" t="n">
        <f aca="false">C8-C12</f>
        <v>1400000</v>
      </c>
      <c r="D13" s="11" t="n">
        <f aca="false">D8-D12</f>
        <v>1468000</v>
      </c>
      <c r="E13" s="11" t="n">
        <f aca="false">E8-E12</f>
        <v>1635000</v>
      </c>
      <c r="F13" s="11" t="n">
        <f aca="false">SUM(B13:E13)</f>
        <v>5743000</v>
      </c>
    </row>
    <row r="14" customFormat="false" ht="15" hidden="false" customHeight="false" outlineLevel="0" collapsed="false">
      <c r="A14" s="5" t="s">
        <v>17</v>
      </c>
      <c r="B14" s="6"/>
      <c r="C14" s="6"/>
      <c r="D14" s="6"/>
      <c r="E14" s="6"/>
      <c r="F14" s="6"/>
    </row>
    <row r="15" customFormat="false" ht="15" hidden="false" customHeight="false" outlineLevel="0" collapsed="false">
      <c r="A15" s="7" t="s">
        <v>18</v>
      </c>
      <c r="B15" s="8" t="n">
        <v>620000</v>
      </c>
      <c r="C15" s="8" t="n">
        <v>640000</v>
      </c>
      <c r="D15" s="8" t="n">
        <v>655000</v>
      </c>
      <c r="E15" s="8" t="n">
        <v>680000</v>
      </c>
      <c r="F15" s="9" t="n">
        <f aca="false">SUM(B15:E15)</f>
        <v>2595000</v>
      </c>
    </row>
    <row r="16" customFormat="false" ht="15" hidden="false" customHeight="false" outlineLevel="0" collapsed="false">
      <c r="A16" s="7" t="s">
        <v>19</v>
      </c>
      <c r="B16" s="8" t="n">
        <v>110000</v>
      </c>
      <c r="C16" s="8" t="n">
        <v>150000</v>
      </c>
      <c r="D16" s="8" t="n">
        <v>130000</v>
      </c>
      <c r="E16" s="8" t="n">
        <v>160000</v>
      </c>
      <c r="F16" s="9" t="n">
        <f aca="false">SUM(B16:E16)</f>
        <v>550000</v>
      </c>
    </row>
    <row r="17" customFormat="false" ht="15" hidden="false" customHeight="false" outlineLevel="0" collapsed="false">
      <c r="A17" s="7" t="s">
        <v>20</v>
      </c>
      <c r="B17" s="8" t="n">
        <v>60000</v>
      </c>
      <c r="C17" s="8" t="n">
        <v>78000</v>
      </c>
      <c r="D17" s="8" t="n">
        <v>82000</v>
      </c>
      <c r="E17" s="8" t="n">
        <v>85000</v>
      </c>
      <c r="F17" s="9" t="n">
        <f aca="false">SUM(B17:E17)</f>
        <v>305000</v>
      </c>
    </row>
    <row r="18" customFormat="false" ht="15" hidden="false" customHeight="false" outlineLevel="0" collapsed="false">
      <c r="A18" s="7" t="s">
        <v>21</v>
      </c>
      <c r="B18" s="8" t="n">
        <v>40000</v>
      </c>
      <c r="C18" s="8" t="n">
        <v>62000</v>
      </c>
      <c r="D18" s="8" t="n">
        <v>45000</v>
      </c>
      <c r="E18" s="8" t="n">
        <v>55000</v>
      </c>
      <c r="F18" s="9" t="n">
        <f aca="false">SUM(B18:E18)</f>
        <v>202000</v>
      </c>
    </row>
    <row r="19" customFormat="false" ht="15" hidden="false" customHeight="false" outlineLevel="0" collapsed="false">
      <c r="A19" s="7" t="s">
        <v>22</v>
      </c>
      <c r="B19" s="8" t="n">
        <v>25000</v>
      </c>
      <c r="C19" s="8" t="n">
        <v>35000</v>
      </c>
      <c r="D19" s="8" t="n">
        <v>30000</v>
      </c>
      <c r="E19" s="8" t="n">
        <v>38000</v>
      </c>
      <c r="F19" s="9" t="n">
        <f aca="false">SUM(B19:E19)</f>
        <v>128000</v>
      </c>
    </row>
    <row r="20" customFormat="false" ht="15" hidden="false" customHeight="false" outlineLevel="0" collapsed="false">
      <c r="A20" s="7" t="s">
        <v>23</v>
      </c>
      <c r="B20" s="8" t="n">
        <v>60000</v>
      </c>
      <c r="C20" s="8" t="n">
        <v>60000</v>
      </c>
      <c r="D20" s="8" t="n">
        <v>60000</v>
      </c>
      <c r="E20" s="8" t="n">
        <v>60000</v>
      </c>
      <c r="F20" s="9" t="n">
        <f aca="false">SUM(B20:E20)</f>
        <v>240000</v>
      </c>
    </row>
    <row r="21" customFormat="false" ht="15" hidden="false" customHeight="false" outlineLevel="0" collapsed="false">
      <c r="A21" s="7" t="s">
        <v>24</v>
      </c>
      <c r="B21" s="8" t="n">
        <v>20000</v>
      </c>
      <c r="C21" s="8" t="n">
        <v>20000</v>
      </c>
      <c r="D21" s="8" t="n">
        <v>22000</v>
      </c>
      <c r="E21" s="8" t="n">
        <v>22000</v>
      </c>
      <c r="F21" s="9" t="n">
        <f aca="false">SUM(B21:E21)</f>
        <v>84000</v>
      </c>
    </row>
    <row r="22" customFormat="false" ht="15" hidden="false" customHeight="false" outlineLevel="0" collapsed="false">
      <c r="A22" s="10" t="s">
        <v>25</v>
      </c>
      <c r="B22" s="11" t="n">
        <f aca="false">SUM(B15:B21)</f>
        <v>935000</v>
      </c>
      <c r="C22" s="11" t="n">
        <f aca="false">SUM(C15:C21)</f>
        <v>1045000</v>
      </c>
      <c r="D22" s="11" t="n">
        <f aca="false">SUM(D15:D21)</f>
        <v>1024000</v>
      </c>
      <c r="E22" s="11" t="n">
        <f aca="false">SUM(E15:E21)</f>
        <v>1100000</v>
      </c>
      <c r="F22" s="11" t="n">
        <f aca="false">SUM(B22:E22)</f>
        <v>4104000</v>
      </c>
    </row>
    <row r="23" customFormat="false" ht="15" hidden="false" customHeight="false" outlineLevel="0" collapsed="false">
      <c r="A23" s="10" t="s">
        <v>26</v>
      </c>
      <c r="B23" s="11" t="n">
        <f aca="false">B13-B22</f>
        <v>305000</v>
      </c>
      <c r="C23" s="11" t="n">
        <f aca="false">C13-C22</f>
        <v>355000</v>
      </c>
      <c r="D23" s="11" t="n">
        <f aca="false">D13-D22</f>
        <v>444000</v>
      </c>
      <c r="E23" s="11" t="n">
        <f aca="false">E13-E22</f>
        <v>535000</v>
      </c>
      <c r="F23" s="11" t="n">
        <f aca="false">SUM(B23:E23)</f>
        <v>1639000</v>
      </c>
    </row>
    <row r="24" customFormat="false" ht="15" hidden="false" customHeight="false" outlineLevel="0" collapsed="false">
      <c r="A24" s="7" t="s">
        <v>27</v>
      </c>
      <c r="B24" s="8" t="n">
        <v>15000</v>
      </c>
      <c r="C24" s="8" t="n">
        <v>15000</v>
      </c>
      <c r="D24" s="8" t="n">
        <v>14000</v>
      </c>
      <c r="E24" s="8" t="n">
        <v>14000</v>
      </c>
      <c r="F24" s="9" t="n">
        <f aca="false">SUM(B24:E24)</f>
        <v>58000</v>
      </c>
    </row>
    <row r="25" customFormat="false" ht="15" hidden="false" customHeight="false" outlineLevel="0" collapsed="false">
      <c r="A25" s="10" t="s">
        <v>28</v>
      </c>
      <c r="B25" s="11" t="n">
        <f aca="false">B23-B24</f>
        <v>290000</v>
      </c>
      <c r="C25" s="11" t="n">
        <f aca="false">C23-C24</f>
        <v>340000</v>
      </c>
      <c r="D25" s="11" t="n">
        <f aca="false">D23-D24</f>
        <v>430000</v>
      </c>
      <c r="E25" s="11" t="n">
        <f aca="false">E23-E24</f>
        <v>521000</v>
      </c>
      <c r="F25" s="11" t="n">
        <f aca="false">SUM(B25:E25)</f>
        <v>1581000</v>
      </c>
    </row>
    <row r="26" customFormat="false" ht="15" hidden="false" customHeight="false" outlineLevel="0" collapsed="false">
      <c r="A26" s="10" t="s">
        <v>29</v>
      </c>
      <c r="B26" s="11" t="n">
        <f aca="false">B25*$B$30</f>
        <v>72500</v>
      </c>
      <c r="C26" s="11" t="n">
        <f aca="false">C25*$B$30</f>
        <v>85000</v>
      </c>
      <c r="D26" s="11" t="n">
        <f aca="false">D25*$B$30</f>
        <v>107500</v>
      </c>
      <c r="E26" s="11" t="n">
        <f aca="false">E25*$B$30</f>
        <v>130250</v>
      </c>
      <c r="F26" s="11" t="n">
        <f aca="false">SUM(B26:E26)</f>
        <v>395250</v>
      </c>
    </row>
    <row r="27" customFormat="false" ht="15" hidden="false" customHeight="false" outlineLevel="0" collapsed="false">
      <c r="A27" s="10" t="s">
        <v>30</v>
      </c>
      <c r="B27" s="11" t="n">
        <f aca="false">B25-B26</f>
        <v>217500</v>
      </c>
      <c r="C27" s="11" t="n">
        <f aca="false">C25-C26</f>
        <v>255000</v>
      </c>
      <c r="D27" s="11" t="n">
        <f aca="false">D25-D26</f>
        <v>322500</v>
      </c>
      <c r="E27" s="11" t="n">
        <f aca="false">E25-E26</f>
        <v>390750</v>
      </c>
      <c r="F27" s="11" t="n">
        <f aca="false">SUM(B27:E27)</f>
        <v>1185750</v>
      </c>
    </row>
    <row r="29" customFormat="false" ht="15" hidden="false" customHeight="false" outlineLevel="0" collapsed="false">
      <c r="A29" s="12" t="s">
        <v>31</v>
      </c>
    </row>
    <row r="30" customFormat="false" ht="15" hidden="false" customHeight="false" outlineLevel="0" collapsed="false">
      <c r="A30" s="7" t="s">
        <v>32</v>
      </c>
      <c r="B30" s="13" t="n">
        <v>0.25</v>
      </c>
      <c r="C30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3" t="s">
        <v>2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</row>
    <row r="5" customFormat="false" ht="15" hidden="false" customHeight="false" outlineLevel="0" collapsed="false">
      <c r="A5" s="5" t="s">
        <v>41</v>
      </c>
      <c r="B5" s="6"/>
      <c r="C5" s="6"/>
      <c r="D5" s="6"/>
      <c r="E5" s="6"/>
      <c r="F5" s="6"/>
    </row>
    <row r="6" customFormat="false" ht="15" hidden="false" customHeight="false" outlineLevel="0" collapsed="false">
      <c r="A6" s="7" t="s">
        <v>42</v>
      </c>
      <c r="B6" s="8" t="n">
        <v>900000</v>
      </c>
      <c r="C6" s="14" t="n">
        <f aca="false">'Cash Flow'!B19</f>
        <v>1027500</v>
      </c>
      <c r="D6" s="14" t="n">
        <f aca="false">'Cash Flow'!C19</f>
        <v>1167500</v>
      </c>
      <c r="E6" s="14" t="n">
        <f aca="false">'Cash Flow'!D19</f>
        <v>1397000</v>
      </c>
      <c r="F6" s="14" t="n">
        <f aca="false">'Cash Flow'!E19</f>
        <v>1679750</v>
      </c>
    </row>
    <row r="7" customFormat="false" ht="15" hidden="false" customHeight="false" outlineLevel="0" collapsed="false">
      <c r="A7" s="7" t="s">
        <v>43</v>
      </c>
      <c r="B7" s="8" t="n">
        <v>500000</v>
      </c>
      <c r="C7" s="8" t="n">
        <v>560000</v>
      </c>
      <c r="D7" s="8" t="n">
        <v>635000</v>
      </c>
      <c r="E7" s="8" t="n">
        <v>675000</v>
      </c>
      <c r="F7" s="8" t="n">
        <v>745000</v>
      </c>
    </row>
    <row r="8" customFormat="false" ht="15" hidden="false" customHeight="false" outlineLevel="0" collapsed="false">
      <c r="A8" s="7" t="s">
        <v>44</v>
      </c>
      <c r="B8" s="8" t="n">
        <v>60000</v>
      </c>
      <c r="C8" s="9" t="n">
        <f aca="false">B8</f>
        <v>60000</v>
      </c>
      <c r="D8" s="9" t="n">
        <f aca="false">C8</f>
        <v>60000</v>
      </c>
      <c r="E8" s="9" t="n">
        <f aca="false">D8</f>
        <v>60000</v>
      </c>
      <c r="F8" s="9" t="n">
        <f aca="false">E8</f>
        <v>60000</v>
      </c>
    </row>
    <row r="9" customFormat="false" ht="15" hidden="false" customHeight="false" outlineLevel="0" collapsed="false">
      <c r="A9" s="7" t="s">
        <v>45</v>
      </c>
      <c r="B9" s="8" t="n">
        <v>400000</v>
      </c>
      <c r="C9" s="14" t="n">
        <f aca="false">B9-'Cash Flow'!B12-'Income Statement'!B21</f>
        <v>425000</v>
      </c>
      <c r="D9" s="14" t="n">
        <f aca="false">C9-'Cash Flow'!C12-'Income Statement'!C21</f>
        <v>465000</v>
      </c>
      <c r="E9" s="14" t="n">
        <f aca="false">D9-'Cash Flow'!D12-'Income Statement'!D21</f>
        <v>478000</v>
      </c>
      <c r="F9" s="14" t="n">
        <f aca="false">E9-'Cash Flow'!E12-'Income Statement'!E21</f>
        <v>506000</v>
      </c>
    </row>
    <row r="10" customFormat="false" ht="15" hidden="false" customHeight="false" outlineLevel="0" collapsed="false">
      <c r="A10" s="12" t="s">
        <v>46</v>
      </c>
      <c r="B10" s="11" t="n">
        <f aca="false">SUM(B6:B9)</f>
        <v>1860000</v>
      </c>
      <c r="C10" s="11" t="n">
        <f aca="false">SUM(C6:C9)</f>
        <v>2072500</v>
      </c>
      <c r="D10" s="11" t="n">
        <f aca="false">SUM(D6:D9)</f>
        <v>2327500</v>
      </c>
      <c r="E10" s="11" t="n">
        <f aca="false">SUM(E6:E9)</f>
        <v>2610000</v>
      </c>
      <c r="F10" s="11" t="n">
        <f aca="false">SUM(F6:F9)</f>
        <v>2990750</v>
      </c>
    </row>
    <row r="11" customFormat="false" ht="15" hidden="false" customHeight="false" outlineLevel="0" collapsed="false">
      <c r="A11" s="5" t="s">
        <v>47</v>
      </c>
      <c r="B11" s="6"/>
      <c r="C11" s="6"/>
      <c r="D11" s="6"/>
      <c r="E11" s="6"/>
      <c r="F11" s="6"/>
    </row>
    <row r="12" customFormat="false" ht="15" hidden="false" customHeight="false" outlineLevel="0" collapsed="false">
      <c r="A12" s="7" t="s">
        <v>48</v>
      </c>
      <c r="B12" s="8" t="n">
        <v>180000</v>
      </c>
      <c r="C12" s="8" t="n">
        <v>205000</v>
      </c>
      <c r="D12" s="8" t="n">
        <v>235000</v>
      </c>
      <c r="E12" s="8" t="n">
        <v>225000</v>
      </c>
      <c r="F12" s="8" t="n">
        <v>245000</v>
      </c>
    </row>
    <row r="13" customFormat="false" ht="15" hidden="false" customHeight="false" outlineLevel="0" collapsed="false">
      <c r="A13" s="7" t="s">
        <v>49</v>
      </c>
      <c r="B13" s="8" t="n">
        <v>90000</v>
      </c>
      <c r="C13" s="9" t="n">
        <f aca="false">B13</f>
        <v>90000</v>
      </c>
      <c r="D13" s="9" t="n">
        <f aca="false">C13</f>
        <v>90000</v>
      </c>
      <c r="E13" s="9" t="n">
        <f aca="false">D13</f>
        <v>90000</v>
      </c>
      <c r="F13" s="9" t="n">
        <f aca="false">E13</f>
        <v>90000</v>
      </c>
    </row>
    <row r="14" customFormat="false" ht="15" hidden="false" customHeight="false" outlineLevel="0" collapsed="false">
      <c r="A14" s="7" t="s">
        <v>50</v>
      </c>
      <c r="B14" s="8" t="n">
        <v>600000</v>
      </c>
      <c r="C14" s="14" t="n">
        <f aca="false">B14+'Cash Flow'!B15</f>
        <v>570000</v>
      </c>
      <c r="D14" s="14" t="n">
        <f aca="false">C14+'Cash Flow'!C15</f>
        <v>540000</v>
      </c>
      <c r="E14" s="14" t="n">
        <f aca="false">D14+'Cash Flow'!D15</f>
        <v>510000</v>
      </c>
      <c r="F14" s="14" t="n">
        <f aca="false">E14+'Cash Flow'!E15</f>
        <v>480000</v>
      </c>
    </row>
    <row r="15" customFormat="false" ht="15" hidden="false" customHeight="false" outlineLevel="0" collapsed="false">
      <c r="A15" s="12" t="s">
        <v>51</v>
      </c>
      <c r="B15" s="11" t="n">
        <f aca="false">SUM(B12:B14)</f>
        <v>870000</v>
      </c>
      <c r="C15" s="11" t="n">
        <f aca="false">SUM(C12:C14)</f>
        <v>865000</v>
      </c>
      <c r="D15" s="11" t="n">
        <f aca="false">SUM(D12:D14)</f>
        <v>865000</v>
      </c>
      <c r="E15" s="11" t="n">
        <f aca="false">SUM(E12:E14)</f>
        <v>825000</v>
      </c>
      <c r="F15" s="11" t="n">
        <f aca="false">SUM(F12:F14)</f>
        <v>815000</v>
      </c>
    </row>
    <row r="16" customFormat="false" ht="15" hidden="false" customHeight="false" outlineLevel="0" collapsed="false">
      <c r="A16" s="5" t="s">
        <v>52</v>
      </c>
      <c r="B16" s="6"/>
      <c r="C16" s="6"/>
      <c r="D16" s="6"/>
      <c r="E16" s="6"/>
      <c r="F16" s="6"/>
    </row>
    <row r="17" customFormat="false" ht="15" hidden="false" customHeight="false" outlineLevel="0" collapsed="false">
      <c r="A17" s="7" t="s">
        <v>53</v>
      </c>
      <c r="B17" s="8" t="n">
        <v>500000</v>
      </c>
      <c r="C17" s="9" t="n">
        <f aca="false">B17</f>
        <v>500000</v>
      </c>
      <c r="D17" s="9" t="n">
        <f aca="false">C17</f>
        <v>500000</v>
      </c>
      <c r="E17" s="9" t="n">
        <f aca="false">D17</f>
        <v>500000</v>
      </c>
      <c r="F17" s="9" t="n">
        <f aca="false">E17</f>
        <v>500000</v>
      </c>
    </row>
    <row r="18" customFormat="false" ht="15" hidden="false" customHeight="false" outlineLevel="0" collapsed="false">
      <c r="A18" s="7" t="s">
        <v>54</v>
      </c>
      <c r="B18" s="8" t="n">
        <v>490000</v>
      </c>
      <c r="C18" s="14" t="n">
        <f aca="false">B18+'Income Statement'!B27</f>
        <v>707500</v>
      </c>
      <c r="D18" s="14" t="n">
        <f aca="false">C18+'Income Statement'!C27</f>
        <v>962500</v>
      </c>
      <c r="E18" s="14" t="n">
        <f aca="false">D18+'Income Statement'!D27</f>
        <v>1285000</v>
      </c>
      <c r="F18" s="14" t="n">
        <f aca="false">E18+'Income Statement'!E27</f>
        <v>1675750</v>
      </c>
    </row>
    <row r="19" customFormat="false" ht="15" hidden="false" customHeight="false" outlineLevel="0" collapsed="false">
      <c r="A19" s="12" t="s">
        <v>55</v>
      </c>
      <c r="B19" s="11" t="n">
        <f aca="false">SUM(B17:B18)</f>
        <v>990000</v>
      </c>
      <c r="C19" s="11" t="n">
        <f aca="false">SUM(C17:C18)</f>
        <v>1207500</v>
      </c>
      <c r="D19" s="11" t="n">
        <f aca="false">SUM(D17:D18)</f>
        <v>1462500</v>
      </c>
      <c r="E19" s="11" t="n">
        <f aca="false">SUM(E17:E18)</f>
        <v>1785000</v>
      </c>
      <c r="F19" s="11" t="n">
        <f aca="false">SUM(F17:F18)</f>
        <v>2175750</v>
      </c>
    </row>
    <row r="20" customFormat="false" ht="15" hidden="false" customHeight="false" outlineLevel="0" collapsed="false">
      <c r="A20" s="12" t="s">
        <v>56</v>
      </c>
      <c r="B20" s="11" t="n">
        <f aca="false">B15+B19</f>
        <v>1860000</v>
      </c>
      <c r="C20" s="11" t="n">
        <f aca="false">C15+C19</f>
        <v>2072500</v>
      </c>
      <c r="D20" s="11" t="n">
        <f aca="false">D15+D19</f>
        <v>2327500</v>
      </c>
      <c r="E20" s="11" t="n">
        <f aca="false">E15+E19</f>
        <v>2610000</v>
      </c>
      <c r="F20" s="11" t="n">
        <f aca="false">F15+F19</f>
        <v>2990750</v>
      </c>
    </row>
    <row r="21" customFormat="false" ht="15" hidden="false" customHeight="false" outlineLevel="0" collapsed="false">
      <c r="A21" s="12" t="s">
        <v>57</v>
      </c>
      <c r="B21" s="15" t="n">
        <f aca="false">B10-B20</f>
        <v>0</v>
      </c>
      <c r="C21" s="15" t="n">
        <f aca="false">C10-C20</f>
        <v>0</v>
      </c>
      <c r="D21" s="15" t="n">
        <f aca="false">D10-D20</f>
        <v>0</v>
      </c>
      <c r="E21" s="15" t="n">
        <f aca="false">E10-E20</f>
        <v>0</v>
      </c>
      <c r="F21" s="15" t="n">
        <f aca="false">F10-F20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1" t="s">
        <v>58</v>
      </c>
    </row>
    <row r="2" customFormat="false" ht="15" hidden="false" customHeight="false" outlineLevel="0" collapsed="false">
      <c r="A2" s="2" t="s">
        <v>59</v>
      </c>
    </row>
    <row r="4" customFormat="false" ht="1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60</v>
      </c>
      <c r="B5" s="6"/>
      <c r="C5" s="6"/>
      <c r="D5" s="6"/>
      <c r="E5" s="6"/>
      <c r="F5" s="6"/>
    </row>
    <row r="6" customFormat="false" ht="15" hidden="false" customHeight="false" outlineLevel="0" collapsed="false">
      <c r="A6" s="7" t="s">
        <v>30</v>
      </c>
      <c r="B6" s="14" t="n">
        <f aca="false">'Income Statement'!B27</f>
        <v>217500</v>
      </c>
      <c r="C6" s="14" t="n">
        <f aca="false">'Income Statement'!C27</f>
        <v>255000</v>
      </c>
      <c r="D6" s="14" t="n">
        <f aca="false">'Income Statement'!D27</f>
        <v>322500</v>
      </c>
      <c r="E6" s="14" t="n">
        <f aca="false">'Income Statement'!E27</f>
        <v>390750</v>
      </c>
      <c r="F6" s="9" t="n">
        <f aca="false">SUM(B6:E6)</f>
        <v>1185750</v>
      </c>
    </row>
    <row r="7" customFormat="false" ht="15" hidden="false" customHeight="false" outlineLevel="0" collapsed="false">
      <c r="A7" s="7" t="s">
        <v>24</v>
      </c>
      <c r="B7" s="14" t="n">
        <f aca="false">'Income Statement'!B21</f>
        <v>20000</v>
      </c>
      <c r="C7" s="14" t="n">
        <f aca="false">'Income Statement'!C21</f>
        <v>20000</v>
      </c>
      <c r="D7" s="14" t="n">
        <f aca="false">'Income Statement'!D21</f>
        <v>22000</v>
      </c>
      <c r="E7" s="14" t="n">
        <f aca="false">'Income Statement'!E21</f>
        <v>22000</v>
      </c>
      <c r="F7" s="9" t="n">
        <f aca="false">SUM(B7:E7)</f>
        <v>84000</v>
      </c>
    </row>
    <row r="8" customFormat="false" ht="15" hidden="false" customHeight="false" outlineLevel="0" collapsed="false">
      <c r="A8" s="7" t="s">
        <v>61</v>
      </c>
      <c r="B8" s="14" t="n">
        <f aca="false">-('Balance Sheet'!C7-'Balance Sheet'!B7)</f>
        <v>-60000</v>
      </c>
      <c r="C8" s="14" t="n">
        <f aca="false">-('Balance Sheet'!D7-'Balance Sheet'!C7)</f>
        <v>-75000</v>
      </c>
      <c r="D8" s="14" t="n">
        <f aca="false">-('Balance Sheet'!E7-'Balance Sheet'!D7)</f>
        <v>-40000</v>
      </c>
      <c r="E8" s="14" t="n">
        <f aca="false">-('Balance Sheet'!F7-'Balance Sheet'!E7)</f>
        <v>-70000</v>
      </c>
      <c r="F8" s="9" t="n">
        <f aca="false">SUM(B8:E8)</f>
        <v>-245000</v>
      </c>
    </row>
    <row r="9" customFormat="false" ht="15" hidden="false" customHeight="false" outlineLevel="0" collapsed="false">
      <c r="A9" s="7" t="s">
        <v>62</v>
      </c>
      <c r="B9" s="14" t="n">
        <f aca="false">'Balance Sheet'!C12-'Balance Sheet'!B12</f>
        <v>25000</v>
      </c>
      <c r="C9" s="14" t="n">
        <f aca="false">'Balance Sheet'!D12-'Balance Sheet'!C12</f>
        <v>30000</v>
      </c>
      <c r="D9" s="14" t="n">
        <f aca="false">'Balance Sheet'!E12-'Balance Sheet'!D12</f>
        <v>-10000</v>
      </c>
      <c r="E9" s="14" t="n">
        <f aca="false">'Balance Sheet'!F12-'Balance Sheet'!E12</f>
        <v>20000</v>
      </c>
      <c r="F9" s="9" t="n">
        <f aca="false">SUM(B9:E9)</f>
        <v>65000</v>
      </c>
    </row>
    <row r="10" customFormat="false" ht="15" hidden="false" customHeight="false" outlineLevel="0" collapsed="false">
      <c r="A10" s="12" t="s">
        <v>63</v>
      </c>
      <c r="B10" s="11" t="n">
        <f aca="false">SUM(B6:B9)</f>
        <v>202500</v>
      </c>
      <c r="C10" s="11" t="n">
        <f aca="false">SUM(C6:C9)</f>
        <v>230000</v>
      </c>
      <c r="D10" s="11" t="n">
        <f aca="false">SUM(D6:D9)</f>
        <v>294500</v>
      </c>
      <c r="E10" s="11" t="n">
        <f aca="false">SUM(E6:E9)</f>
        <v>362750</v>
      </c>
      <c r="F10" s="15" t="n">
        <f aca="false">SUM(B10:E10)</f>
        <v>1089750</v>
      </c>
    </row>
    <row r="11" customFormat="false" ht="15" hidden="false" customHeight="false" outlineLevel="0" collapsed="false">
      <c r="A11" s="5" t="s">
        <v>64</v>
      </c>
      <c r="B11" s="6"/>
      <c r="C11" s="6"/>
      <c r="D11" s="6"/>
      <c r="E11" s="6"/>
      <c r="F11" s="6"/>
    </row>
    <row r="12" customFormat="false" ht="15" hidden="false" customHeight="false" outlineLevel="0" collapsed="false">
      <c r="A12" s="7" t="s">
        <v>65</v>
      </c>
      <c r="B12" s="8" t="n">
        <v>-45000</v>
      </c>
      <c r="C12" s="8" t="n">
        <v>-60000</v>
      </c>
      <c r="D12" s="8" t="n">
        <v>-35000</v>
      </c>
      <c r="E12" s="8" t="n">
        <v>-50000</v>
      </c>
      <c r="F12" s="9" t="n">
        <f aca="false">SUM(B12:E12)</f>
        <v>-190000</v>
      </c>
    </row>
    <row r="13" customFormat="false" ht="15" hidden="false" customHeight="false" outlineLevel="0" collapsed="false">
      <c r="A13" s="12" t="s">
        <v>66</v>
      </c>
      <c r="B13" s="11" t="n">
        <f aca="false">B12</f>
        <v>-45000</v>
      </c>
      <c r="C13" s="11" t="n">
        <f aca="false">C12</f>
        <v>-60000</v>
      </c>
      <c r="D13" s="11" t="n">
        <f aca="false">D12</f>
        <v>-35000</v>
      </c>
      <c r="E13" s="11" t="n">
        <f aca="false">E12</f>
        <v>-50000</v>
      </c>
      <c r="F13" s="15" t="n">
        <f aca="false">SUM(B13:E13)</f>
        <v>-190000</v>
      </c>
    </row>
    <row r="14" customFormat="false" ht="15" hidden="false" customHeight="false" outlineLevel="0" collapsed="false">
      <c r="A14" s="5" t="s">
        <v>67</v>
      </c>
      <c r="B14" s="6"/>
      <c r="C14" s="6"/>
      <c r="D14" s="6"/>
      <c r="E14" s="6"/>
      <c r="F14" s="6"/>
    </row>
    <row r="15" customFormat="false" ht="15" hidden="false" customHeight="false" outlineLevel="0" collapsed="false">
      <c r="A15" s="7" t="s">
        <v>68</v>
      </c>
      <c r="B15" s="8" t="n">
        <v>-30000</v>
      </c>
      <c r="C15" s="8" t="n">
        <v>-30000</v>
      </c>
      <c r="D15" s="8" t="n">
        <v>-30000</v>
      </c>
      <c r="E15" s="8" t="n">
        <v>-30000</v>
      </c>
      <c r="F15" s="9" t="n">
        <f aca="false">SUM(B15:E15)</f>
        <v>-120000</v>
      </c>
    </row>
    <row r="16" customFormat="false" ht="15" hidden="false" customHeight="false" outlineLevel="0" collapsed="false">
      <c r="A16" s="12" t="s">
        <v>69</v>
      </c>
      <c r="B16" s="11" t="n">
        <f aca="false">B15</f>
        <v>-30000</v>
      </c>
      <c r="C16" s="11" t="n">
        <f aca="false">C15</f>
        <v>-30000</v>
      </c>
      <c r="D16" s="11" t="n">
        <f aca="false">D15</f>
        <v>-30000</v>
      </c>
      <c r="E16" s="11" t="n">
        <f aca="false">E15</f>
        <v>-30000</v>
      </c>
      <c r="F16" s="15" t="n">
        <f aca="false">SUM(B16:E16)</f>
        <v>-120000</v>
      </c>
    </row>
    <row r="17" customFormat="false" ht="15" hidden="false" customHeight="false" outlineLevel="0" collapsed="false">
      <c r="A17" s="12" t="s">
        <v>70</v>
      </c>
      <c r="B17" s="11" t="n">
        <f aca="false">B10+B13+B16</f>
        <v>127500</v>
      </c>
      <c r="C17" s="11" t="n">
        <f aca="false">C10+C13+C16</f>
        <v>140000</v>
      </c>
      <c r="D17" s="11" t="n">
        <f aca="false">D10+D13+D16</f>
        <v>229500</v>
      </c>
      <c r="E17" s="11" t="n">
        <f aca="false">E10+E13+E16</f>
        <v>282750</v>
      </c>
      <c r="F17" s="15" t="n">
        <f aca="false">SUM(B17:E17)</f>
        <v>779750</v>
      </c>
    </row>
    <row r="18" customFormat="false" ht="15" hidden="false" customHeight="false" outlineLevel="0" collapsed="false">
      <c r="A18" s="7" t="s">
        <v>71</v>
      </c>
      <c r="B18" s="14" t="n">
        <f aca="false">'Balance Sheet'!B6</f>
        <v>900000</v>
      </c>
      <c r="C18" s="9" t="n">
        <f aca="false">B19</f>
        <v>1027500</v>
      </c>
      <c r="D18" s="9" t="n">
        <f aca="false">C19</f>
        <v>1167500</v>
      </c>
      <c r="E18" s="9" t="n">
        <f aca="false">D19</f>
        <v>1397000</v>
      </c>
      <c r="F18" s="9" t="n">
        <f aca="false">B18</f>
        <v>900000</v>
      </c>
    </row>
    <row r="19" customFormat="false" ht="15" hidden="false" customHeight="false" outlineLevel="0" collapsed="false">
      <c r="A19" s="12" t="s">
        <v>72</v>
      </c>
      <c r="B19" s="11" t="n">
        <f aca="false">B18+B17</f>
        <v>1027500</v>
      </c>
      <c r="C19" s="11" t="n">
        <f aca="false">C18+C17</f>
        <v>1167500</v>
      </c>
      <c r="D19" s="11" t="n">
        <f aca="false">D18+D17</f>
        <v>1397000</v>
      </c>
      <c r="E19" s="11" t="n">
        <f aca="false">E18+E17</f>
        <v>1679750</v>
      </c>
      <c r="F19" s="11" t="n">
        <f aca="false">E19</f>
        <v>1679750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13"/>
  </cols>
  <sheetData>
    <row r="1" customFormat="false" ht="17.35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15" hidden="false" customHeight="false" outlineLevel="0" collapsed="false">
      <c r="A4" s="3" t="s">
        <v>75</v>
      </c>
      <c r="B4" s="4" t="s">
        <v>76</v>
      </c>
      <c r="C4" s="4" t="s">
        <v>2</v>
      </c>
      <c r="D4" s="4" t="s">
        <v>77</v>
      </c>
      <c r="E4" s="4" t="s">
        <v>78</v>
      </c>
      <c r="F4" s="4" t="s">
        <v>79</v>
      </c>
      <c r="G4" s="4" t="s">
        <v>80</v>
      </c>
      <c r="H4" s="4" t="s">
        <v>81</v>
      </c>
    </row>
    <row r="5" customFormat="false" ht="15" hidden="false" customHeight="false" outlineLevel="0" collapsed="false">
      <c r="A5" s="7" t="s">
        <v>3</v>
      </c>
      <c r="B5" s="7" t="s">
        <v>8</v>
      </c>
      <c r="C5" s="7" t="s">
        <v>9</v>
      </c>
      <c r="D5" s="8" t="n">
        <v>1180000</v>
      </c>
      <c r="E5" s="14" t="n">
        <f aca="false">'Income Statement'!B6</f>
        <v>1200000</v>
      </c>
      <c r="F5" s="9" t="n">
        <f aca="false">E5-D5</f>
        <v>20000</v>
      </c>
      <c r="G5" s="16" t="n">
        <f aca="false">IF(D5=0,0,F5/D5)</f>
        <v>0.0169491525423729</v>
      </c>
      <c r="H5" s="7" t="str">
        <f aca="false">IF(F5=0,"On budget",IF(B5="Revenue",IF(F5&gt;0,"Favorable","Unfavorable"),IF(F5&lt;0,"Favorable","Unfavorable")))</f>
        <v>Favorable</v>
      </c>
    </row>
    <row r="6" customFormat="false" ht="15" hidden="false" customHeight="false" outlineLevel="0" collapsed="false">
      <c r="A6" s="7" t="s">
        <v>3</v>
      </c>
      <c r="B6" s="7" t="s">
        <v>8</v>
      </c>
      <c r="C6" s="7" t="s">
        <v>10</v>
      </c>
      <c r="D6" s="8" t="n">
        <v>410000</v>
      </c>
      <c r="E6" s="14" t="n">
        <f aca="false">'Income Statement'!B7</f>
        <v>400000</v>
      </c>
      <c r="F6" s="9" t="n">
        <f aca="false">E6-D6</f>
        <v>-10000</v>
      </c>
      <c r="G6" s="16" t="n">
        <f aca="false">IF(D6=0,0,F6/D6)</f>
        <v>-0.024390243902439</v>
      </c>
      <c r="H6" s="7" t="str">
        <f aca="false">IF(F6=0,"On budget",IF(B6="Revenue",IF(F6&gt;0,"Favorable","Unfavorable"),IF(F6&lt;0,"Favorable","Unfavorable")))</f>
        <v>Unfavorable</v>
      </c>
    </row>
    <row r="7" customFormat="false" ht="15" hidden="false" customHeight="false" outlineLevel="0" collapsed="false">
      <c r="A7" s="7" t="s">
        <v>3</v>
      </c>
      <c r="B7" s="7" t="s">
        <v>12</v>
      </c>
      <c r="C7" s="7" t="s">
        <v>13</v>
      </c>
      <c r="D7" s="8" t="n">
        <v>205000</v>
      </c>
      <c r="E7" s="14" t="n">
        <f aca="false">'Income Statement'!B10</f>
        <v>210000</v>
      </c>
      <c r="F7" s="9" t="n">
        <f aca="false">E7-D7</f>
        <v>5000</v>
      </c>
      <c r="G7" s="16" t="n">
        <f aca="false">IF(D7=0,0,F7/D7)</f>
        <v>0.024390243902439</v>
      </c>
      <c r="H7" s="7" t="str">
        <f aca="false">IF(F7=0,"On budget",IF(B7="Revenue",IF(F7&gt;0,"Favorable","Unfavorable"),IF(F7&lt;0,"Favorable","Unfavorable")))</f>
        <v>Unfavorable</v>
      </c>
    </row>
    <row r="8" customFormat="false" ht="15" hidden="false" customHeight="false" outlineLevel="0" collapsed="false">
      <c r="A8" s="7" t="s">
        <v>3</v>
      </c>
      <c r="B8" s="7" t="s">
        <v>12</v>
      </c>
      <c r="C8" s="7" t="s">
        <v>14</v>
      </c>
      <c r="D8" s="8" t="n">
        <v>148000</v>
      </c>
      <c r="E8" s="14" t="n">
        <f aca="false">'Income Statement'!B11</f>
        <v>150000</v>
      </c>
      <c r="F8" s="9" t="n">
        <f aca="false">E8-D8</f>
        <v>2000</v>
      </c>
      <c r="G8" s="16" t="n">
        <f aca="false">IF(D8=0,0,F8/D8)</f>
        <v>0.0135135135135135</v>
      </c>
      <c r="H8" s="7" t="str">
        <f aca="false">IF(F8=0,"On budget",IF(B8="Revenue",IF(F8&gt;0,"Favorable","Unfavorable"),IF(F8&lt;0,"Favorable","Unfavorable")))</f>
        <v>Unfavorable</v>
      </c>
    </row>
    <row r="9" customFormat="false" ht="15" hidden="false" customHeight="false" outlineLevel="0" collapsed="false">
      <c r="A9" s="7" t="s">
        <v>3</v>
      </c>
      <c r="B9" s="7" t="s">
        <v>17</v>
      </c>
      <c r="C9" s="7" t="s">
        <v>18</v>
      </c>
      <c r="D9" s="8" t="n">
        <v>615000</v>
      </c>
      <c r="E9" s="14" t="n">
        <f aca="false">'Income Statement'!B15</f>
        <v>620000</v>
      </c>
      <c r="F9" s="9" t="n">
        <f aca="false">E9-D9</f>
        <v>5000</v>
      </c>
      <c r="G9" s="16" t="n">
        <f aca="false">IF(D9=0,0,F9/D9)</f>
        <v>0.00813008130081301</v>
      </c>
      <c r="H9" s="7" t="str">
        <f aca="false">IF(F9=0,"On budget",IF(B9="Revenue",IF(F9&gt;0,"Favorable","Unfavorable"),IF(F9&lt;0,"Favorable","Unfavorable")))</f>
        <v>Unfavorable</v>
      </c>
    </row>
    <row r="10" customFormat="false" ht="15" hidden="false" customHeight="false" outlineLevel="0" collapsed="false">
      <c r="A10" s="7" t="s">
        <v>3</v>
      </c>
      <c r="B10" s="7" t="s">
        <v>17</v>
      </c>
      <c r="C10" s="7" t="s">
        <v>19</v>
      </c>
      <c r="D10" s="8" t="n">
        <v>105000</v>
      </c>
      <c r="E10" s="14" t="n">
        <f aca="false">'Income Statement'!B16</f>
        <v>110000</v>
      </c>
      <c r="F10" s="9" t="n">
        <f aca="false">E10-D10</f>
        <v>5000</v>
      </c>
      <c r="G10" s="16" t="n">
        <f aca="false">IF(D10=0,0,F10/D10)</f>
        <v>0.0476190476190476</v>
      </c>
      <c r="H10" s="7" t="str">
        <f aca="false">IF(F10=0,"On budget",IF(B10="Revenue",IF(F10&gt;0,"Favorable","Unfavorable"),IF(F10&lt;0,"Favorable","Unfavorable")))</f>
        <v>Unfavorable</v>
      </c>
    </row>
    <row r="11" customFormat="false" ht="15" hidden="false" customHeight="false" outlineLevel="0" collapsed="false">
      <c r="A11" s="7" t="s">
        <v>3</v>
      </c>
      <c r="B11" s="7" t="s">
        <v>17</v>
      </c>
      <c r="C11" s="7" t="s">
        <v>20</v>
      </c>
      <c r="D11" s="8" t="n">
        <v>58000</v>
      </c>
      <c r="E11" s="14" t="n">
        <f aca="false">'Income Statement'!B17</f>
        <v>60000</v>
      </c>
      <c r="F11" s="9" t="n">
        <f aca="false">E11-D11</f>
        <v>2000</v>
      </c>
      <c r="G11" s="16" t="n">
        <f aca="false">IF(D11=0,0,F11/D11)</f>
        <v>0.0344827586206897</v>
      </c>
      <c r="H11" s="7" t="str">
        <f aca="false">IF(F11=0,"On budget",IF(B11="Revenue",IF(F11&gt;0,"Favorable","Unfavorable"),IF(F11&lt;0,"Favorable","Unfavorable")))</f>
        <v>Unfavorable</v>
      </c>
    </row>
    <row r="12" customFormat="false" ht="15" hidden="false" customHeight="false" outlineLevel="0" collapsed="false">
      <c r="A12" s="7" t="s">
        <v>3</v>
      </c>
      <c r="B12" s="7" t="s">
        <v>17</v>
      </c>
      <c r="C12" s="7" t="s">
        <v>21</v>
      </c>
      <c r="D12" s="8" t="n">
        <v>38000</v>
      </c>
      <c r="E12" s="14" t="n">
        <f aca="false">'Income Statement'!B18</f>
        <v>40000</v>
      </c>
      <c r="F12" s="9" t="n">
        <f aca="false">E12-D12</f>
        <v>2000</v>
      </c>
      <c r="G12" s="16" t="n">
        <f aca="false">IF(D12=0,0,F12/D12)</f>
        <v>0.0526315789473684</v>
      </c>
      <c r="H12" s="7" t="str">
        <f aca="false">IF(F12=0,"On budget",IF(B12="Revenue",IF(F12&gt;0,"Favorable","Unfavorable"),IF(F12&lt;0,"Favorable","Unfavorable")))</f>
        <v>Unfavorable</v>
      </c>
    </row>
    <row r="13" customFormat="false" ht="15" hidden="false" customHeight="false" outlineLevel="0" collapsed="false">
      <c r="A13" s="7" t="s">
        <v>3</v>
      </c>
      <c r="B13" s="7" t="s">
        <v>17</v>
      </c>
      <c r="C13" s="7" t="s">
        <v>22</v>
      </c>
      <c r="D13" s="8" t="n">
        <v>26000</v>
      </c>
      <c r="E13" s="14" t="n">
        <f aca="false">'Income Statement'!B19</f>
        <v>25000</v>
      </c>
      <c r="F13" s="9" t="n">
        <f aca="false">E13-D13</f>
        <v>-1000</v>
      </c>
      <c r="G13" s="16" t="n">
        <f aca="false">IF(D13=0,0,F13/D13)</f>
        <v>-0.0384615384615385</v>
      </c>
      <c r="H13" s="7" t="str">
        <f aca="false">IF(F13=0,"On budget",IF(B13="Revenue",IF(F13&gt;0,"Favorable","Unfavorable"),IF(F13&lt;0,"Favorable","Unfavorable")))</f>
        <v>Favorable</v>
      </c>
    </row>
    <row r="14" customFormat="false" ht="15" hidden="false" customHeight="false" outlineLevel="0" collapsed="false">
      <c r="A14" s="7" t="s">
        <v>3</v>
      </c>
      <c r="B14" s="7" t="s">
        <v>17</v>
      </c>
      <c r="C14" s="7" t="s">
        <v>23</v>
      </c>
      <c r="D14" s="8" t="n">
        <v>60000</v>
      </c>
      <c r="E14" s="14" t="n">
        <f aca="false">'Income Statement'!B20</f>
        <v>60000</v>
      </c>
      <c r="F14" s="9" t="n">
        <f aca="false">E14-D14</f>
        <v>0</v>
      </c>
      <c r="G14" s="16" t="n">
        <f aca="false">IF(D14=0,0,F14/D14)</f>
        <v>0</v>
      </c>
      <c r="H14" s="7" t="str">
        <f aca="false">IF(F14=0,"On budget",IF(B14="Revenue",IF(F14&gt;0,"Favorable","Unfavorable"),IF(F14&lt;0,"Favorable","Unfavorable")))</f>
        <v>On budget</v>
      </c>
    </row>
    <row r="15" customFormat="false" ht="15" hidden="false" customHeight="false" outlineLevel="0" collapsed="false">
      <c r="A15" s="7" t="s">
        <v>3</v>
      </c>
      <c r="B15" s="7" t="s">
        <v>17</v>
      </c>
      <c r="C15" s="7" t="s">
        <v>24</v>
      </c>
      <c r="D15" s="8" t="n">
        <v>20000</v>
      </c>
      <c r="E15" s="14" t="n">
        <f aca="false">'Income Statement'!B21</f>
        <v>20000</v>
      </c>
      <c r="F15" s="9" t="n">
        <f aca="false">E15-D15</f>
        <v>0</v>
      </c>
      <c r="G15" s="16" t="n">
        <f aca="false">IF(D15=0,0,F15/D15)</f>
        <v>0</v>
      </c>
      <c r="H15" s="7" t="str">
        <f aca="false">IF(F15=0,"On budget",IF(B15="Revenue",IF(F15&gt;0,"Favorable","Unfavorable"),IF(F15&lt;0,"Favorable","Unfavorable")))</f>
        <v>On budget</v>
      </c>
    </row>
    <row r="16" customFormat="false" ht="15" hidden="false" customHeight="false" outlineLevel="0" collapsed="false">
      <c r="A16" s="7" t="s">
        <v>4</v>
      </c>
      <c r="B16" s="7" t="s">
        <v>8</v>
      </c>
      <c r="C16" s="7" t="s">
        <v>9</v>
      </c>
      <c r="D16" s="8" t="n">
        <v>1310000</v>
      </c>
      <c r="E16" s="14" t="n">
        <f aca="false">'Income Statement'!C6</f>
        <v>1350000</v>
      </c>
      <c r="F16" s="9" t="n">
        <f aca="false">E16-D16</f>
        <v>40000</v>
      </c>
      <c r="G16" s="16" t="n">
        <f aca="false">IF(D16=0,0,F16/D16)</f>
        <v>0.0305343511450382</v>
      </c>
      <c r="H16" s="7" t="str">
        <f aca="false">IF(F16=0,"On budget",IF(B16="Revenue",IF(F16&gt;0,"Favorable","Unfavorable"),IF(F16&lt;0,"Favorable","Unfavorable")))</f>
        <v>Favorable</v>
      </c>
    </row>
    <row r="17" customFormat="false" ht="15" hidden="false" customHeight="false" outlineLevel="0" collapsed="false">
      <c r="A17" s="7" t="s">
        <v>4</v>
      </c>
      <c r="B17" s="7" t="s">
        <v>8</v>
      </c>
      <c r="C17" s="7" t="s">
        <v>10</v>
      </c>
      <c r="D17" s="8" t="n">
        <v>440000</v>
      </c>
      <c r="E17" s="14" t="n">
        <f aca="false">'Income Statement'!C7</f>
        <v>450000</v>
      </c>
      <c r="F17" s="9" t="n">
        <f aca="false">E17-D17</f>
        <v>10000</v>
      </c>
      <c r="G17" s="16" t="n">
        <f aca="false">IF(D17=0,0,F17/D17)</f>
        <v>0.0227272727272727</v>
      </c>
      <c r="H17" s="7" t="str">
        <f aca="false">IF(F17=0,"On budget",IF(B17="Revenue",IF(F17&gt;0,"Favorable","Unfavorable"),IF(F17&lt;0,"Favorable","Unfavorable")))</f>
        <v>Favorable</v>
      </c>
    </row>
    <row r="18" customFormat="false" ht="15" hidden="false" customHeight="false" outlineLevel="0" collapsed="false">
      <c r="A18" s="7" t="s">
        <v>4</v>
      </c>
      <c r="B18" s="7" t="s">
        <v>12</v>
      </c>
      <c r="C18" s="7" t="s">
        <v>13</v>
      </c>
      <c r="D18" s="8" t="n">
        <v>230000</v>
      </c>
      <c r="E18" s="14" t="n">
        <f aca="false">'Income Statement'!C10</f>
        <v>235000</v>
      </c>
      <c r="F18" s="9" t="n">
        <f aca="false">E18-D18</f>
        <v>5000</v>
      </c>
      <c r="G18" s="16" t="n">
        <f aca="false">IF(D18=0,0,F18/D18)</f>
        <v>0.0217391304347826</v>
      </c>
      <c r="H18" s="7" t="str">
        <f aca="false">IF(F18=0,"On budget",IF(B18="Revenue",IF(F18&gt;0,"Favorable","Unfavorable"),IF(F18&lt;0,"Favorable","Unfavorable")))</f>
        <v>Unfavorable</v>
      </c>
    </row>
    <row r="19" customFormat="false" ht="15" hidden="false" customHeight="false" outlineLevel="0" collapsed="false">
      <c r="A19" s="7" t="s">
        <v>4</v>
      </c>
      <c r="B19" s="7" t="s">
        <v>12</v>
      </c>
      <c r="C19" s="7" t="s">
        <v>14</v>
      </c>
      <c r="D19" s="8" t="n">
        <v>160000</v>
      </c>
      <c r="E19" s="14" t="n">
        <f aca="false">'Income Statement'!C11</f>
        <v>165000</v>
      </c>
      <c r="F19" s="9" t="n">
        <f aca="false">E19-D19</f>
        <v>5000</v>
      </c>
      <c r="G19" s="16" t="n">
        <f aca="false">IF(D19=0,0,F19/D19)</f>
        <v>0.03125</v>
      </c>
      <c r="H19" s="7" t="str">
        <f aca="false">IF(F19=0,"On budget",IF(B19="Revenue",IF(F19&gt;0,"Favorable","Unfavorable"),IF(F19&lt;0,"Favorable","Unfavorable")))</f>
        <v>Unfavorable</v>
      </c>
    </row>
    <row r="20" customFormat="false" ht="15" hidden="false" customHeight="false" outlineLevel="0" collapsed="false">
      <c r="A20" s="7" t="s">
        <v>4</v>
      </c>
      <c r="B20" s="7" t="s">
        <v>17</v>
      </c>
      <c r="C20" s="7" t="s">
        <v>18</v>
      </c>
      <c r="D20" s="8" t="n">
        <v>650000</v>
      </c>
      <c r="E20" s="14" t="n">
        <f aca="false">'Income Statement'!C15</f>
        <v>640000</v>
      </c>
      <c r="F20" s="9" t="n">
        <f aca="false">E20-D20</f>
        <v>-10000</v>
      </c>
      <c r="G20" s="16" t="n">
        <f aca="false">IF(D20=0,0,F20/D20)</f>
        <v>-0.0153846153846154</v>
      </c>
      <c r="H20" s="7" t="str">
        <f aca="false">IF(F20=0,"On budget",IF(B20="Revenue",IF(F20&gt;0,"Favorable","Unfavorable"),IF(F20&lt;0,"Favorable","Unfavorable")))</f>
        <v>Favorable</v>
      </c>
    </row>
    <row r="21" customFormat="false" ht="15" hidden="false" customHeight="false" outlineLevel="0" collapsed="false">
      <c r="A21" s="7" t="s">
        <v>4</v>
      </c>
      <c r="B21" s="7" t="s">
        <v>17</v>
      </c>
      <c r="C21" s="7" t="s">
        <v>19</v>
      </c>
      <c r="D21" s="8" t="n">
        <v>120000</v>
      </c>
      <c r="E21" s="14" t="n">
        <f aca="false">'Income Statement'!C16</f>
        <v>150000</v>
      </c>
      <c r="F21" s="9" t="n">
        <f aca="false">E21-D21</f>
        <v>30000</v>
      </c>
      <c r="G21" s="16" t="n">
        <f aca="false">IF(D21=0,0,F21/D21)</f>
        <v>0.25</v>
      </c>
      <c r="H21" s="7" t="str">
        <f aca="false">IF(F21=0,"On budget",IF(B21="Revenue",IF(F21&gt;0,"Favorable","Unfavorable"),IF(F21&lt;0,"Favorable","Unfavorable")))</f>
        <v>Unfavorable</v>
      </c>
    </row>
    <row r="22" customFormat="false" ht="15" hidden="false" customHeight="false" outlineLevel="0" collapsed="false">
      <c r="A22" s="7" t="s">
        <v>4</v>
      </c>
      <c r="B22" s="7" t="s">
        <v>17</v>
      </c>
      <c r="C22" s="7" t="s">
        <v>20</v>
      </c>
      <c r="D22" s="8" t="n">
        <v>70000</v>
      </c>
      <c r="E22" s="14" t="n">
        <f aca="false">'Income Statement'!C17</f>
        <v>78000</v>
      </c>
      <c r="F22" s="9" t="n">
        <f aca="false">E22-D22</f>
        <v>8000</v>
      </c>
      <c r="G22" s="16" t="n">
        <f aca="false">IF(D22=0,0,F22/D22)</f>
        <v>0.114285714285714</v>
      </c>
      <c r="H22" s="7" t="str">
        <f aca="false">IF(F22=0,"On budget",IF(B22="Revenue",IF(F22&gt;0,"Favorable","Unfavorable"),IF(F22&lt;0,"Favorable","Unfavorable")))</f>
        <v>Unfavorable</v>
      </c>
    </row>
    <row r="23" customFormat="false" ht="15" hidden="false" customHeight="false" outlineLevel="0" collapsed="false">
      <c r="A23" s="7" t="s">
        <v>4</v>
      </c>
      <c r="B23" s="7" t="s">
        <v>17</v>
      </c>
      <c r="C23" s="7" t="s">
        <v>21</v>
      </c>
      <c r="D23" s="8" t="n">
        <v>45000</v>
      </c>
      <c r="E23" s="14" t="n">
        <f aca="false">'Income Statement'!C18</f>
        <v>62000</v>
      </c>
      <c r="F23" s="9" t="n">
        <f aca="false">E23-D23</f>
        <v>17000</v>
      </c>
      <c r="G23" s="16" t="n">
        <f aca="false">IF(D23=0,0,F23/D23)</f>
        <v>0.377777777777778</v>
      </c>
      <c r="H23" s="7" t="str">
        <f aca="false">IF(F23=0,"On budget",IF(B23="Revenue",IF(F23&gt;0,"Favorable","Unfavorable"),IF(F23&lt;0,"Favorable","Unfavorable")))</f>
        <v>Unfavorable</v>
      </c>
    </row>
    <row r="24" customFormat="false" ht="15" hidden="false" customHeight="false" outlineLevel="0" collapsed="false">
      <c r="A24" s="7" t="s">
        <v>4</v>
      </c>
      <c r="B24" s="7" t="s">
        <v>17</v>
      </c>
      <c r="C24" s="7" t="s">
        <v>22</v>
      </c>
      <c r="D24" s="8" t="n">
        <v>30000</v>
      </c>
      <c r="E24" s="14" t="n">
        <f aca="false">'Income Statement'!C19</f>
        <v>35000</v>
      </c>
      <c r="F24" s="9" t="n">
        <f aca="false">E24-D24</f>
        <v>5000</v>
      </c>
      <c r="G24" s="16" t="n">
        <f aca="false">IF(D24=0,0,F24/D24)</f>
        <v>0.166666666666667</v>
      </c>
      <c r="H24" s="7" t="str">
        <f aca="false">IF(F24=0,"On budget",IF(B24="Revenue",IF(F24&gt;0,"Favorable","Unfavorable"),IF(F24&lt;0,"Favorable","Unfavorable")))</f>
        <v>Unfavorable</v>
      </c>
    </row>
    <row r="25" customFormat="false" ht="15" hidden="false" customHeight="false" outlineLevel="0" collapsed="false">
      <c r="A25" s="7" t="s">
        <v>4</v>
      </c>
      <c r="B25" s="7" t="s">
        <v>17</v>
      </c>
      <c r="C25" s="7" t="s">
        <v>23</v>
      </c>
      <c r="D25" s="8" t="n">
        <v>60000</v>
      </c>
      <c r="E25" s="14" t="n">
        <f aca="false">'Income Statement'!C20</f>
        <v>60000</v>
      </c>
      <c r="F25" s="9" t="n">
        <f aca="false">E25-D25</f>
        <v>0</v>
      </c>
      <c r="G25" s="16" t="n">
        <f aca="false">IF(D25=0,0,F25/D25)</f>
        <v>0</v>
      </c>
      <c r="H25" s="7" t="str">
        <f aca="false">IF(F25=0,"On budget",IF(B25="Revenue",IF(F25&gt;0,"Favorable","Unfavorable"),IF(F25&lt;0,"Favorable","Unfavorable")))</f>
        <v>On budget</v>
      </c>
    </row>
    <row r="26" customFormat="false" ht="15" hidden="false" customHeight="false" outlineLevel="0" collapsed="false">
      <c r="A26" s="7" t="s">
        <v>4</v>
      </c>
      <c r="B26" s="7" t="s">
        <v>17</v>
      </c>
      <c r="C26" s="7" t="s">
        <v>24</v>
      </c>
      <c r="D26" s="8" t="n">
        <v>20000</v>
      </c>
      <c r="E26" s="14" t="n">
        <f aca="false">'Income Statement'!C21</f>
        <v>20000</v>
      </c>
      <c r="F26" s="9" t="n">
        <f aca="false">E26-D26</f>
        <v>0</v>
      </c>
      <c r="G26" s="16" t="n">
        <f aca="false">IF(D26=0,0,F26/D26)</f>
        <v>0</v>
      </c>
      <c r="H26" s="7" t="str">
        <f aca="false">IF(F26=0,"On budget",IF(B26="Revenue",IF(F26&gt;0,"Favorable","Unfavorable"),IF(F26&lt;0,"Favorable","Unfavorable")))</f>
        <v>On budget</v>
      </c>
    </row>
    <row r="27" customFormat="false" ht="15" hidden="false" customHeight="false" outlineLevel="0" collapsed="false">
      <c r="A27" s="7" t="s">
        <v>5</v>
      </c>
      <c r="B27" s="7" t="s">
        <v>8</v>
      </c>
      <c r="C27" s="7" t="s">
        <v>9</v>
      </c>
      <c r="D27" s="8" t="n">
        <v>1400000</v>
      </c>
      <c r="E27" s="14" t="n">
        <f aca="false">'Income Statement'!D6</f>
        <v>1420000</v>
      </c>
      <c r="F27" s="9" t="n">
        <f aca="false">E27-D27</f>
        <v>20000</v>
      </c>
      <c r="G27" s="16" t="n">
        <f aca="false">IF(D27=0,0,F27/D27)</f>
        <v>0.0142857142857143</v>
      </c>
      <c r="H27" s="7" t="str">
        <f aca="false">IF(F27=0,"On budget",IF(B27="Revenue",IF(F27&gt;0,"Favorable","Unfavorable"),IF(F27&lt;0,"Favorable","Unfavorable")))</f>
        <v>Favorable</v>
      </c>
    </row>
    <row r="28" customFormat="false" ht="15" hidden="false" customHeight="false" outlineLevel="0" collapsed="false">
      <c r="A28" s="7" t="s">
        <v>5</v>
      </c>
      <c r="B28" s="7" t="s">
        <v>8</v>
      </c>
      <c r="C28" s="7" t="s">
        <v>10</v>
      </c>
      <c r="D28" s="8" t="n">
        <v>460000</v>
      </c>
      <c r="E28" s="14" t="n">
        <f aca="false">'Income Statement'!D7</f>
        <v>470000</v>
      </c>
      <c r="F28" s="9" t="n">
        <f aca="false">E28-D28</f>
        <v>10000</v>
      </c>
      <c r="G28" s="16" t="n">
        <f aca="false">IF(D28=0,0,F28/D28)</f>
        <v>0.0217391304347826</v>
      </c>
      <c r="H28" s="7" t="str">
        <f aca="false">IF(F28=0,"On budget",IF(B28="Revenue",IF(F28&gt;0,"Favorable","Unfavorable"),IF(F28&lt;0,"Favorable","Unfavorable")))</f>
        <v>Favorable</v>
      </c>
    </row>
    <row r="29" customFormat="false" ht="15" hidden="false" customHeight="false" outlineLevel="0" collapsed="false">
      <c r="A29" s="7" t="s">
        <v>5</v>
      </c>
      <c r="B29" s="7" t="s">
        <v>12</v>
      </c>
      <c r="C29" s="7" t="s">
        <v>13</v>
      </c>
      <c r="D29" s="8" t="n">
        <v>245000</v>
      </c>
      <c r="E29" s="14" t="n">
        <f aca="false">'Income Statement'!D10</f>
        <v>250000</v>
      </c>
      <c r="F29" s="9" t="n">
        <f aca="false">E29-D29</f>
        <v>5000</v>
      </c>
      <c r="G29" s="16" t="n">
        <f aca="false">IF(D29=0,0,F29/D29)</f>
        <v>0.0204081632653061</v>
      </c>
      <c r="H29" s="7" t="str">
        <f aca="false">IF(F29=0,"On budget",IF(B29="Revenue",IF(F29&gt;0,"Favorable","Unfavorable"),IF(F29&lt;0,"Favorable","Unfavorable")))</f>
        <v>Unfavorable</v>
      </c>
    </row>
    <row r="30" customFormat="false" ht="15" hidden="false" customHeight="false" outlineLevel="0" collapsed="false">
      <c r="A30" s="7" t="s">
        <v>5</v>
      </c>
      <c r="B30" s="7" t="s">
        <v>12</v>
      </c>
      <c r="C30" s="7" t="s">
        <v>14</v>
      </c>
      <c r="D30" s="8" t="n">
        <v>170000</v>
      </c>
      <c r="E30" s="14" t="n">
        <f aca="false">'Income Statement'!D11</f>
        <v>172000</v>
      </c>
      <c r="F30" s="9" t="n">
        <f aca="false">E30-D30</f>
        <v>2000</v>
      </c>
      <c r="G30" s="16" t="n">
        <f aca="false">IF(D30=0,0,F30/D30)</f>
        <v>0.0117647058823529</v>
      </c>
      <c r="H30" s="7" t="str">
        <f aca="false">IF(F30=0,"On budget",IF(B30="Revenue",IF(F30&gt;0,"Favorable","Unfavorable"),IF(F30&lt;0,"Favorable","Unfavorable")))</f>
        <v>Unfavorable</v>
      </c>
    </row>
    <row r="31" customFormat="false" ht="15" hidden="false" customHeight="false" outlineLevel="0" collapsed="false">
      <c r="A31" s="7" t="s">
        <v>5</v>
      </c>
      <c r="B31" s="7" t="s">
        <v>17</v>
      </c>
      <c r="C31" s="7" t="s">
        <v>18</v>
      </c>
      <c r="D31" s="8" t="n">
        <v>660000</v>
      </c>
      <c r="E31" s="14" t="n">
        <f aca="false">'Income Statement'!D15</f>
        <v>655000</v>
      </c>
      <c r="F31" s="9" t="n">
        <f aca="false">E31-D31</f>
        <v>-5000</v>
      </c>
      <c r="G31" s="16" t="n">
        <f aca="false">IF(D31=0,0,F31/D31)</f>
        <v>-0.00757575757575758</v>
      </c>
      <c r="H31" s="7" t="str">
        <f aca="false">IF(F31=0,"On budget",IF(B31="Revenue",IF(F31&gt;0,"Favorable","Unfavorable"),IF(F31&lt;0,"Favorable","Unfavorable")))</f>
        <v>Favorable</v>
      </c>
    </row>
    <row r="32" customFormat="false" ht="15" hidden="false" customHeight="false" outlineLevel="0" collapsed="false">
      <c r="A32" s="7" t="s">
        <v>5</v>
      </c>
      <c r="B32" s="7" t="s">
        <v>17</v>
      </c>
      <c r="C32" s="7" t="s">
        <v>19</v>
      </c>
      <c r="D32" s="8" t="n">
        <v>135000</v>
      </c>
      <c r="E32" s="14" t="n">
        <f aca="false">'Income Statement'!D16</f>
        <v>130000</v>
      </c>
      <c r="F32" s="9" t="n">
        <f aca="false">E32-D32</f>
        <v>-5000</v>
      </c>
      <c r="G32" s="16" t="n">
        <f aca="false">IF(D32=0,0,F32/D32)</f>
        <v>-0.037037037037037</v>
      </c>
      <c r="H32" s="7" t="str">
        <f aca="false">IF(F32=0,"On budget",IF(B32="Revenue",IF(F32&gt;0,"Favorable","Unfavorable"),IF(F32&lt;0,"Favorable","Unfavorable")))</f>
        <v>Favorable</v>
      </c>
    </row>
    <row r="33" customFormat="false" ht="15" hidden="false" customHeight="false" outlineLevel="0" collapsed="false">
      <c r="A33" s="7" t="s">
        <v>5</v>
      </c>
      <c r="B33" s="7" t="s">
        <v>17</v>
      </c>
      <c r="C33" s="7" t="s">
        <v>20</v>
      </c>
      <c r="D33" s="8" t="n">
        <v>80000</v>
      </c>
      <c r="E33" s="14" t="n">
        <f aca="false">'Income Statement'!D17</f>
        <v>82000</v>
      </c>
      <c r="F33" s="9" t="n">
        <f aca="false">E33-D33</f>
        <v>2000</v>
      </c>
      <c r="G33" s="16" t="n">
        <f aca="false">IF(D33=0,0,F33/D33)</f>
        <v>0.025</v>
      </c>
      <c r="H33" s="7" t="str">
        <f aca="false">IF(F33=0,"On budget",IF(B33="Revenue",IF(F33&gt;0,"Favorable","Unfavorable"),IF(F33&lt;0,"Favorable","Unfavorable")))</f>
        <v>Unfavorable</v>
      </c>
    </row>
    <row r="34" customFormat="false" ht="15" hidden="false" customHeight="false" outlineLevel="0" collapsed="false">
      <c r="A34" s="7" t="s">
        <v>5</v>
      </c>
      <c r="B34" s="7" t="s">
        <v>17</v>
      </c>
      <c r="C34" s="7" t="s">
        <v>21</v>
      </c>
      <c r="D34" s="8" t="n">
        <v>50000</v>
      </c>
      <c r="E34" s="14" t="n">
        <f aca="false">'Income Statement'!D18</f>
        <v>45000</v>
      </c>
      <c r="F34" s="9" t="n">
        <f aca="false">E34-D34</f>
        <v>-5000</v>
      </c>
      <c r="G34" s="16" t="n">
        <f aca="false">IF(D34=0,0,F34/D34)</f>
        <v>-0.1</v>
      </c>
      <c r="H34" s="7" t="str">
        <f aca="false">IF(F34=0,"On budget",IF(B34="Revenue",IF(F34&gt;0,"Favorable","Unfavorable"),IF(F34&lt;0,"Favorable","Unfavorable")))</f>
        <v>Favorable</v>
      </c>
    </row>
    <row r="35" customFormat="false" ht="15" hidden="false" customHeight="false" outlineLevel="0" collapsed="false">
      <c r="A35" s="7" t="s">
        <v>5</v>
      </c>
      <c r="B35" s="7" t="s">
        <v>17</v>
      </c>
      <c r="C35" s="7" t="s">
        <v>22</v>
      </c>
      <c r="D35" s="8" t="n">
        <v>32000</v>
      </c>
      <c r="E35" s="14" t="n">
        <f aca="false">'Income Statement'!D19</f>
        <v>30000</v>
      </c>
      <c r="F35" s="9" t="n">
        <f aca="false">E35-D35</f>
        <v>-2000</v>
      </c>
      <c r="G35" s="16" t="n">
        <f aca="false">IF(D35=0,0,F35/D35)</f>
        <v>-0.0625</v>
      </c>
      <c r="H35" s="7" t="str">
        <f aca="false">IF(F35=0,"On budget",IF(B35="Revenue",IF(F35&gt;0,"Favorable","Unfavorable"),IF(F35&lt;0,"Favorable","Unfavorable")))</f>
        <v>Favorable</v>
      </c>
    </row>
    <row r="36" customFormat="false" ht="15" hidden="false" customHeight="false" outlineLevel="0" collapsed="false">
      <c r="A36" s="7" t="s">
        <v>5</v>
      </c>
      <c r="B36" s="7" t="s">
        <v>17</v>
      </c>
      <c r="C36" s="7" t="s">
        <v>23</v>
      </c>
      <c r="D36" s="8" t="n">
        <v>60000</v>
      </c>
      <c r="E36" s="14" t="n">
        <f aca="false">'Income Statement'!D20</f>
        <v>60000</v>
      </c>
      <c r="F36" s="9" t="n">
        <f aca="false">E36-D36</f>
        <v>0</v>
      </c>
      <c r="G36" s="16" t="n">
        <f aca="false">IF(D36=0,0,F36/D36)</f>
        <v>0</v>
      </c>
      <c r="H36" s="7" t="str">
        <f aca="false">IF(F36=0,"On budget",IF(B36="Revenue",IF(F36&gt;0,"Favorable","Unfavorable"),IF(F36&lt;0,"Favorable","Unfavorable")))</f>
        <v>On budget</v>
      </c>
    </row>
    <row r="37" customFormat="false" ht="15" hidden="false" customHeight="false" outlineLevel="0" collapsed="false">
      <c r="A37" s="7" t="s">
        <v>5</v>
      </c>
      <c r="B37" s="7" t="s">
        <v>17</v>
      </c>
      <c r="C37" s="7" t="s">
        <v>24</v>
      </c>
      <c r="D37" s="8" t="n">
        <v>22000</v>
      </c>
      <c r="E37" s="14" t="n">
        <f aca="false">'Income Statement'!D21</f>
        <v>22000</v>
      </c>
      <c r="F37" s="9" t="n">
        <f aca="false">E37-D37</f>
        <v>0</v>
      </c>
      <c r="G37" s="16" t="n">
        <f aca="false">IF(D37=0,0,F37/D37)</f>
        <v>0</v>
      </c>
      <c r="H37" s="7" t="str">
        <f aca="false">IF(F37=0,"On budget",IF(B37="Revenue",IF(F37&gt;0,"Favorable","Unfavorable"),IF(F37&lt;0,"Favorable","Unfavorable")))</f>
        <v>On budget</v>
      </c>
    </row>
    <row r="38" customFormat="false" ht="15" hidden="false" customHeight="false" outlineLevel="0" collapsed="false">
      <c r="A38" s="7" t="s">
        <v>6</v>
      </c>
      <c r="B38" s="7" t="s">
        <v>8</v>
      </c>
      <c r="C38" s="7" t="s">
        <v>9</v>
      </c>
      <c r="D38" s="8" t="n">
        <v>1545000</v>
      </c>
      <c r="E38" s="14" t="n">
        <f aca="false">'Income Statement'!E6</f>
        <v>1580000</v>
      </c>
      <c r="F38" s="9" t="n">
        <f aca="false">E38-D38</f>
        <v>35000</v>
      </c>
      <c r="G38" s="16" t="n">
        <f aca="false">IF(D38=0,0,F38/D38)</f>
        <v>0.0226537216828479</v>
      </c>
      <c r="H38" s="7" t="str">
        <f aca="false">IF(F38=0,"On budget",IF(B38="Revenue",IF(F38&gt;0,"Favorable","Unfavorable"),IF(F38&lt;0,"Favorable","Unfavorable")))</f>
        <v>Favorable</v>
      </c>
    </row>
    <row r="39" customFormat="false" ht="15" hidden="false" customHeight="false" outlineLevel="0" collapsed="false">
      <c r="A39" s="7" t="s">
        <v>6</v>
      </c>
      <c r="B39" s="7" t="s">
        <v>8</v>
      </c>
      <c r="C39" s="7" t="s">
        <v>10</v>
      </c>
      <c r="D39" s="8" t="n">
        <v>510000</v>
      </c>
      <c r="E39" s="14" t="n">
        <f aca="false">'Income Statement'!E7</f>
        <v>520000</v>
      </c>
      <c r="F39" s="9" t="n">
        <f aca="false">E39-D39</f>
        <v>10000</v>
      </c>
      <c r="G39" s="16" t="n">
        <f aca="false">IF(D39=0,0,F39/D39)</f>
        <v>0.0196078431372549</v>
      </c>
      <c r="H39" s="7" t="str">
        <f aca="false">IF(F39=0,"On budget",IF(B39="Revenue",IF(F39&gt;0,"Favorable","Unfavorable"),IF(F39&lt;0,"Favorable","Unfavorable")))</f>
        <v>Favorable</v>
      </c>
    </row>
    <row r="40" customFormat="false" ht="15" hidden="false" customHeight="false" outlineLevel="0" collapsed="false">
      <c r="A40" s="7" t="s">
        <v>6</v>
      </c>
      <c r="B40" s="7" t="s">
        <v>12</v>
      </c>
      <c r="C40" s="7" t="s">
        <v>13</v>
      </c>
      <c r="D40" s="8" t="n">
        <v>270000</v>
      </c>
      <c r="E40" s="14" t="n">
        <f aca="false">'Income Statement'!E10</f>
        <v>275000</v>
      </c>
      <c r="F40" s="9" t="n">
        <f aca="false">E40-D40</f>
        <v>5000</v>
      </c>
      <c r="G40" s="16" t="n">
        <f aca="false">IF(D40=0,0,F40/D40)</f>
        <v>0.0185185185185185</v>
      </c>
      <c r="H40" s="7" t="str">
        <f aca="false">IF(F40=0,"On budget",IF(B40="Revenue",IF(F40&gt;0,"Favorable","Unfavorable"),IF(F40&lt;0,"Favorable","Unfavorable")))</f>
        <v>Unfavorable</v>
      </c>
    </row>
    <row r="41" customFormat="false" ht="15" hidden="false" customHeight="false" outlineLevel="0" collapsed="false">
      <c r="A41" s="7" t="s">
        <v>6</v>
      </c>
      <c r="B41" s="7" t="s">
        <v>12</v>
      </c>
      <c r="C41" s="7" t="s">
        <v>14</v>
      </c>
      <c r="D41" s="8" t="n">
        <v>185000</v>
      </c>
      <c r="E41" s="14" t="n">
        <f aca="false">'Income Statement'!E11</f>
        <v>190000</v>
      </c>
      <c r="F41" s="9" t="n">
        <f aca="false">E41-D41</f>
        <v>5000</v>
      </c>
      <c r="G41" s="16" t="n">
        <f aca="false">IF(D41=0,0,F41/D41)</f>
        <v>0.027027027027027</v>
      </c>
      <c r="H41" s="7" t="str">
        <f aca="false">IF(F41=0,"On budget",IF(B41="Revenue",IF(F41&gt;0,"Favorable","Unfavorable"),IF(F41&lt;0,"Favorable","Unfavorable")))</f>
        <v>Unfavorable</v>
      </c>
    </row>
    <row r="42" customFormat="false" ht="15" hidden="false" customHeight="false" outlineLevel="0" collapsed="false">
      <c r="A42" s="7" t="s">
        <v>6</v>
      </c>
      <c r="B42" s="7" t="s">
        <v>17</v>
      </c>
      <c r="C42" s="7" t="s">
        <v>18</v>
      </c>
      <c r="D42" s="8" t="n">
        <v>675000</v>
      </c>
      <c r="E42" s="14" t="n">
        <f aca="false">'Income Statement'!E15</f>
        <v>680000</v>
      </c>
      <c r="F42" s="9" t="n">
        <f aca="false">E42-D42</f>
        <v>5000</v>
      </c>
      <c r="G42" s="16" t="n">
        <f aca="false">IF(D42=0,0,F42/D42)</f>
        <v>0.00740740740740741</v>
      </c>
      <c r="H42" s="7" t="str">
        <f aca="false">IF(F42=0,"On budget",IF(B42="Revenue",IF(F42&gt;0,"Favorable","Unfavorable"),IF(F42&lt;0,"Favorable","Unfavorable")))</f>
        <v>Unfavorable</v>
      </c>
    </row>
    <row r="43" customFormat="false" ht="15" hidden="false" customHeight="false" outlineLevel="0" collapsed="false">
      <c r="A43" s="7" t="s">
        <v>6</v>
      </c>
      <c r="B43" s="7" t="s">
        <v>17</v>
      </c>
      <c r="C43" s="7" t="s">
        <v>19</v>
      </c>
      <c r="D43" s="8" t="n">
        <v>150000</v>
      </c>
      <c r="E43" s="14" t="n">
        <f aca="false">'Income Statement'!E16</f>
        <v>160000</v>
      </c>
      <c r="F43" s="9" t="n">
        <f aca="false">E43-D43</f>
        <v>10000</v>
      </c>
      <c r="G43" s="16" t="n">
        <f aca="false">IF(D43=0,0,F43/D43)</f>
        <v>0.0666666666666667</v>
      </c>
      <c r="H43" s="7" t="str">
        <f aca="false">IF(F43=0,"On budget",IF(B43="Revenue",IF(F43&gt;0,"Favorable","Unfavorable"),IF(F43&lt;0,"Favorable","Unfavorable")))</f>
        <v>Unfavorable</v>
      </c>
    </row>
    <row r="44" customFormat="false" ht="15" hidden="false" customHeight="false" outlineLevel="0" collapsed="false">
      <c r="A44" s="7" t="s">
        <v>6</v>
      </c>
      <c r="B44" s="7" t="s">
        <v>17</v>
      </c>
      <c r="C44" s="7" t="s">
        <v>20</v>
      </c>
      <c r="D44" s="8" t="n">
        <v>84000</v>
      </c>
      <c r="E44" s="14" t="n">
        <f aca="false">'Income Statement'!E17</f>
        <v>85000</v>
      </c>
      <c r="F44" s="9" t="n">
        <f aca="false">E44-D44</f>
        <v>1000</v>
      </c>
      <c r="G44" s="16" t="n">
        <f aca="false">IF(D44=0,0,F44/D44)</f>
        <v>0.0119047619047619</v>
      </c>
      <c r="H44" s="7" t="str">
        <f aca="false">IF(F44=0,"On budget",IF(B44="Revenue",IF(F44&gt;0,"Favorable","Unfavorable"),IF(F44&lt;0,"Favorable","Unfavorable")))</f>
        <v>Unfavorable</v>
      </c>
    </row>
    <row r="45" customFormat="false" ht="15" hidden="false" customHeight="false" outlineLevel="0" collapsed="false">
      <c r="A45" s="7" t="s">
        <v>6</v>
      </c>
      <c r="B45" s="7" t="s">
        <v>17</v>
      </c>
      <c r="C45" s="7" t="s">
        <v>21</v>
      </c>
      <c r="D45" s="8" t="n">
        <v>50000</v>
      </c>
      <c r="E45" s="14" t="n">
        <f aca="false">'Income Statement'!E18</f>
        <v>55000</v>
      </c>
      <c r="F45" s="9" t="n">
        <f aca="false">E45-D45</f>
        <v>5000</v>
      </c>
      <c r="G45" s="16" t="n">
        <f aca="false">IF(D45=0,0,F45/D45)</f>
        <v>0.1</v>
      </c>
      <c r="H45" s="7" t="str">
        <f aca="false">IF(F45=0,"On budget",IF(B45="Revenue",IF(F45&gt;0,"Favorable","Unfavorable"),IF(F45&lt;0,"Favorable","Unfavorable")))</f>
        <v>Unfavorable</v>
      </c>
    </row>
    <row r="46" customFormat="false" ht="15" hidden="false" customHeight="false" outlineLevel="0" collapsed="false">
      <c r="A46" s="7" t="s">
        <v>6</v>
      </c>
      <c r="B46" s="7" t="s">
        <v>17</v>
      </c>
      <c r="C46" s="7" t="s">
        <v>22</v>
      </c>
      <c r="D46" s="8" t="n">
        <v>36000</v>
      </c>
      <c r="E46" s="14" t="n">
        <f aca="false">'Income Statement'!E19</f>
        <v>38000</v>
      </c>
      <c r="F46" s="9" t="n">
        <f aca="false">E46-D46</f>
        <v>2000</v>
      </c>
      <c r="G46" s="16" t="n">
        <f aca="false">IF(D46=0,0,F46/D46)</f>
        <v>0.0555555555555556</v>
      </c>
      <c r="H46" s="7" t="str">
        <f aca="false">IF(F46=0,"On budget",IF(B46="Revenue",IF(F46&gt;0,"Favorable","Unfavorable"),IF(F46&lt;0,"Favorable","Unfavorable")))</f>
        <v>Unfavorable</v>
      </c>
    </row>
    <row r="47" customFormat="false" ht="15" hidden="false" customHeight="false" outlineLevel="0" collapsed="false">
      <c r="A47" s="7" t="s">
        <v>6</v>
      </c>
      <c r="B47" s="7" t="s">
        <v>17</v>
      </c>
      <c r="C47" s="7" t="s">
        <v>23</v>
      </c>
      <c r="D47" s="8" t="n">
        <v>60000</v>
      </c>
      <c r="E47" s="14" t="n">
        <f aca="false">'Income Statement'!E20</f>
        <v>60000</v>
      </c>
      <c r="F47" s="9" t="n">
        <f aca="false">E47-D47</f>
        <v>0</v>
      </c>
      <c r="G47" s="16" t="n">
        <f aca="false">IF(D47=0,0,F47/D47)</f>
        <v>0</v>
      </c>
      <c r="H47" s="7" t="str">
        <f aca="false">IF(F47=0,"On budget",IF(B47="Revenue",IF(F47&gt;0,"Favorable","Unfavorable"),IF(F47&lt;0,"Favorable","Unfavorable")))</f>
        <v>On budget</v>
      </c>
    </row>
    <row r="48" customFormat="false" ht="15" hidden="false" customHeight="false" outlineLevel="0" collapsed="false">
      <c r="A48" s="7" t="s">
        <v>6</v>
      </c>
      <c r="B48" s="7" t="s">
        <v>17</v>
      </c>
      <c r="C48" s="7" t="s">
        <v>24</v>
      </c>
      <c r="D48" s="8" t="n">
        <v>22000</v>
      </c>
      <c r="E48" s="14" t="n">
        <f aca="false">'Income Statement'!E21</f>
        <v>22000</v>
      </c>
      <c r="F48" s="9" t="n">
        <f aca="false">E48-D48</f>
        <v>0</v>
      </c>
      <c r="G48" s="16" t="n">
        <f aca="false">IF(D48=0,0,F48/D48)</f>
        <v>0</v>
      </c>
      <c r="H48" s="7" t="str">
        <f aca="false">IF(F48=0,"On budget",IF(B48="Revenue",IF(F48&gt;0,"Favorable","Unfavorable"),IF(F48&lt;0,"Favorable","Unfavorable")))</f>
        <v>On budget</v>
      </c>
    </row>
    <row r="50" customFormat="false" ht="15" hidden="false" customHeight="false" outlineLevel="0" collapsed="false">
      <c r="A50" s="5" t="s">
        <v>82</v>
      </c>
      <c r="B50" s="6"/>
      <c r="C50" s="6"/>
      <c r="D50" s="6"/>
      <c r="E50" s="6"/>
      <c r="F50" s="6"/>
      <c r="G50" s="6"/>
      <c r="H50" s="6"/>
    </row>
    <row r="51" customFormat="false" ht="15" hidden="false" customHeight="false" outlineLevel="0" collapsed="false">
      <c r="A51" s="17" t="s">
        <v>75</v>
      </c>
      <c r="B51" s="17"/>
      <c r="C51" s="17"/>
      <c r="D51" s="17" t="s">
        <v>77</v>
      </c>
      <c r="E51" s="17" t="s">
        <v>78</v>
      </c>
      <c r="F51" s="17" t="s">
        <v>79</v>
      </c>
      <c r="G51" s="17" t="s">
        <v>80</v>
      </c>
      <c r="H51" s="17" t="s">
        <v>81</v>
      </c>
    </row>
    <row r="52" customFormat="false" ht="15" hidden="false" customHeight="false" outlineLevel="0" collapsed="false">
      <c r="A52" s="12" t="s">
        <v>3</v>
      </c>
      <c r="D52" s="11" t="n">
        <f aca="false">SUMIFS($D$5:$D$48,$A$5:$A$48,$A52,$B$5:$B$48,"Revenue")-SUMIFS($D$5:$D$48,$A$5:$A$48,$A52,$B$5:$B$48,"Cost of Goods Sold")-SUMIFS($D$5:$D$48,$A$5:$A$48,$A52,$B$5:$B$48,"Operating Expenses")</f>
        <v>315000</v>
      </c>
      <c r="E52" s="11" t="n">
        <f aca="false">SUMIFS($E$5:$E$48,$A$5:$A$48,$A52,$B$5:$B$48,"Revenue")-SUMIFS($E$5:$E$48,$A$5:$A$48,$A52,$B$5:$B$48,"Cost of Goods Sold")-SUMIFS($E$5:$E$48,$A$5:$A$48,$A52,$B$5:$B$48,"Operating Expenses")</f>
        <v>305000</v>
      </c>
      <c r="F52" s="11" t="n">
        <f aca="false">E52-D52</f>
        <v>-10000</v>
      </c>
      <c r="G52" s="18" t="n">
        <f aca="false">IF(D52=0,0,F52/D52)</f>
        <v>-0.0317460317460317</v>
      </c>
      <c r="H52" s="10" t="str">
        <f aca="false">IF(F52&gt;=0,"Favorable","Unfavorable")</f>
        <v>Unfavorable</v>
      </c>
    </row>
    <row r="53" customFormat="false" ht="15" hidden="false" customHeight="false" outlineLevel="0" collapsed="false">
      <c r="A53" s="12" t="s">
        <v>4</v>
      </c>
      <c r="D53" s="11" t="n">
        <f aca="false">SUMIFS($D$5:$D$48,$A$5:$A$48,$A53,$B$5:$B$48,"Revenue")-SUMIFS($D$5:$D$48,$A$5:$A$48,$A53,$B$5:$B$48,"Cost of Goods Sold")-SUMIFS($D$5:$D$48,$A$5:$A$48,$A53,$B$5:$B$48,"Operating Expenses")</f>
        <v>365000</v>
      </c>
      <c r="E53" s="11" t="n">
        <f aca="false">SUMIFS($E$5:$E$48,$A$5:$A$48,$A53,$B$5:$B$48,"Revenue")-SUMIFS($E$5:$E$48,$A$5:$A$48,$A53,$B$5:$B$48,"Cost of Goods Sold")-SUMIFS($E$5:$E$48,$A$5:$A$48,$A53,$B$5:$B$48,"Operating Expenses")</f>
        <v>355000</v>
      </c>
      <c r="F53" s="11" t="n">
        <f aca="false">E53-D53</f>
        <v>-10000</v>
      </c>
      <c r="G53" s="18" t="n">
        <f aca="false">IF(D53=0,0,F53/D53)</f>
        <v>-0.0273972602739726</v>
      </c>
      <c r="H53" s="10" t="str">
        <f aca="false">IF(F53&gt;=0,"Favorable","Unfavorable")</f>
        <v>Unfavorable</v>
      </c>
    </row>
    <row r="54" customFormat="false" ht="15" hidden="false" customHeight="false" outlineLevel="0" collapsed="false">
      <c r="A54" s="12" t="s">
        <v>5</v>
      </c>
      <c r="D54" s="11" t="n">
        <f aca="false">SUMIFS($D$5:$D$48,$A$5:$A$48,$A54,$B$5:$B$48,"Revenue")-SUMIFS($D$5:$D$48,$A$5:$A$48,$A54,$B$5:$B$48,"Cost of Goods Sold")-SUMIFS($D$5:$D$48,$A$5:$A$48,$A54,$B$5:$B$48,"Operating Expenses")</f>
        <v>406000</v>
      </c>
      <c r="E54" s="11" t="n">
        <f aca="false">SUMIFS($E$5:$E$48,$A$5:$A$48,$A54,$B$5:$B$48,"Revenue")-SUMIFS($E$5:$E$48,$A$5:$A$48,$A54,$B$5:$B$48,"Cost of Goods Sold")-SUMIFS($E$5:$E$48,$A$5:$A$48,$A54,$B$5:$B$48,"Operating Expenses")</f>
        <v>444000</v>
      </c>
      <c r="F54" s="11" t="n">
        <f aca="false">E54-D54</f>
        <v>38000</v>
      </c>
      <c r="G54" s="18" t="n">
        <f aca="false">IF(D54=0,0,F54/D54)</f>
        <v>0.0935960591133005</v>
      </c>
      <c r="H54" s="10" t="str">
        <f aca="false">IF(F54&gt;=0,"Favorable","Unfavorable")</f>
        <v>Favorable</v>
      </c>
    </row>
    <row r="55" customFormat="false" ht="15" hidden="false" customHeight="false" outlineLevel="0" collapsed="false">
      <c r="A55" s="12" t="s">
        <v>6</v>
      </c>
      <c r="D55" s="11" t="n">
        <f aca="false">SUMIFS($D$5:$D$48,$A$5:$A$48,$A55,$B$5:$B$48,"Revenue")-SUMIFS($D$5:$D$48,$A$5:$A$48,$A55,$B$5:$B$48,"Cost of Goods Sold")-SUMIFS($D$5:$D$48,$A$5:$A$48,$A55,$B$5:$B$48,"Operating Expenses")</f>
        <v>523000</v>
      </c>
      <c r="E55" s="11" t="n">
        <f aca="false">SUMIFS($E$5:$E$48,$A$5:$A$48,$A55,$B$5:$B$48,"Revenue")-SUMIFS($E$5:$E$48,$A$5:$A$48,$A55,$B$5:$B$48,"Cost of Goods Sold")-SUMIFS($E$5:$E$48,$A$5:$A$48,$A55,$B$5:$B$48,"Operating Expenses")</f>
        <v>535000</v>
      </c>
      <c r="F55" s="11" t="n">
        <f aca="false">E55-D55</f>
        <v>12000</v>
      </c>
      <c r="G55" s="18" t="n">
        <f aca="false">IF(D55=0,0,F55/D55)</f>
        <v>0.0229445506692161</v>
      </c>
      <c r="H55" s="10" t="str">
        <f aca="false">IF(F55&gt;=0,"Favorable","Unfavorable")</f>
        <v>Favorable</v>
      </c>
    </row>
    <row r="57" customFormat="false" ht="15" hidden="false" customHeight="false" outlineLevel="0" collapsed="false">
      <c r="A57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2026-09-20T18:54:04Z</dcterms:created>
  <dc:creator>openpyxl</dc:creator>
  <dc:description/>
  <dc:language>en-US</dc:language>
  <cp:lastModifiedBy/>
  <dcterms:modified xsi:type="dcterms:W3CDTF">2026-09-20T18:54:04Z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